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a38dcf132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 FII" sheetId="1" r:id="R31d12b87389946b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<x:sst xmlns:x="http://schemas.openxmlformats.org/spreadsheetml/2006/main">
  <x:si>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SIMULADOR DE INVESTIMENTOS EM FUNDOS IMOBILIÁRIOS</x:t>
  </x:si>
  <x:si>
    <x:t xml:space="preserve">Autor:</x:t>
  </x:si>
  <x:si>
    <x:t xml:space="preserve">Cleber Cardoso</x:t>
  </x:si>
  <x:si>
    <x:t xml:space="preserve">Data-base:</x:t>
  </x:si>
  <x:si>
    <x:t xml:space="preserve">PREMISSAS EDITÁVEIS</x:t>
  </x:si>
  <x:si>
    <x:t xml:space="preserve">RESUMO DA SIMULAÇÃO</x:t>
  </x:si>
  <x:si>
    <x:t xml:space="preserve">Investimento inicial (R$)</x:t>
  </x:si>
  <x:si>
    <x:t xml:space="preserve">Total investido</x:t>
  </x:si>
  <x:si>
    <x:t xml:space="preserve">Aporte mensal (R$)</x:t>
  </x:si>
  <x:si>
    <x:t xml:space="preserve">Patrimônio final</x:t>
  </x:si>
  <x:si>
    <x:t xml:space="preserve">Preço inicial da cota (R$)</x:t>
  </x:si>
  <x:si>
    <x:t xml:space="preserve">Dividendos gerados</x:t>
  </x:si>
  <x:si>
    <x:t xml:space="preserve">Dividend yield mensal (%)</x:t>
  </x:si>
  <x:si>
    <x:t xml:space="preserve">Dividendos recebidos em caixa</x:t>
  </x:si>
  <x:si>
    <x:t xml:space="preserve">Valorização mensal da cota (%)</x:t>
  </x:si>
  <x:si>
    <x:t xml:space="preserve">Dividendo no último mês</x:t>
  </x:si>
  <x:si>
    <x:t xml:space="preserve">Prazo da simulação (meses)</x:t>
  </x:si>
  <x:si>
    <x:t xml:space="preserve">Rentabilidade total</x:t>
  </x:si>
  <x:si>
    <x:t xml:space="preserve">Reinvestir dividendos? (1=Sim / 0=Não)</x:t>
  </x:si>
  <x:si>
    <x:t xml:space="preserve">Quantidade final de cotas</x:t>
  </x:si>
  <x:si>
    <x:t xml:space="preserve">Data inicial da simulação</x:t>
  </x:si>
  <x:si>
    <x:t xml:space="preserve">Validação</x:t>
  </x:si>
  <x:si>
    <x:t xml:space="preserve">Mês</x:t>
  </x:si>
  <x:si>
    <x:t xml:space="preserve">Data</x:t>
  </x:si>
  <x:si>
    <x:t xml:space="preserve">Preço da Cota</x:t>
  </x:si>
  <x:si>
    <x:t xml:space="preserve">Cotas Iniciais</x:t>
  </x:si>
  <x:si>
    <x:t xml:space="preserve">Aporte</x:t>
  </x:si>
  <x:si>
    <x:t xml:space="preserve">Cotas Compradas</x:t>
  </x:si>
  <x:si>
    <x:t xml:space="preserve">Dividendos</x:t>
  </x:si>
  <x:si>
    <x:t xml:space="preserve">Cotas Reinvestidas</x:t>
  </x:si>
  <x:si>
    <x:t xml:space="preserve">Cotas Finais</x:t>
  </x:si>
  <x:si>
    <x:t xml:space="preserve">Dividendos em Caixa</x:t>
  </x:si>
  <x:si>
    <x:t xml:space="preserve">Total Investido</x:t>
  </x:si>
  <x:si>
    <x:t xml:space="preserve">Patrimônio Final</x:t>
  </x:si>
</x:sst>
</file>

<file path=xl/styles.xml><?xml version="1.0" encoding="utf-8"?>
<x:styleSheet xmlns:x="http://schemas.openxmlformats.org/spreadsheetml/2006/main">
  <x:numFmts count="4">
    <x:numFmt numFmtId="165" formatCode="0.0%"/>
    <x:numFmt numFmtId="166" formatCode="#,##0.000"/>
    <x:numFmt numFmtId="167" formatCode="mmm/yyyy"/>
    <x:numFmt numFmtId="170" formatCode="[$R$-416]\ #,##0.00"/>
  </x:numFmts>
  <x:fonts count="12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0070C0"/>
      <x:name val="Aptos Narrow"/>
    </x:font>
    <x:font>
      <x:b/>
      <x:sz val="11"/>
      <x:color rgb="FF008000"/>
      <x:name val="Aptos Narrow"/>
    </x:font>
    <x:font>
      <x:sz val="9"/>
      <x:color indexed="81"/>
      <x:name val="Segoe UI"/>
    </x:font>
    <x:font>
      <x:b/>
      <x:sz val="9"/>
      <x:color indexed="81"/>
      <x:name val="Segoe U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0"/>
      <x:color rgb="FFFFFFFF"/>
      <x:name val="Calibri"/>
    </x:font>
    <x:font>
      <x:b/>
      <x:sz val="11"/>
      <x:color rgb="FF0070C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D2330"/>
      </x:patternFill>
    </x:fill>
    <x:fill>
      <x:patternFill patternType="solid">
        <x:fgColor rgb="FFE2E3E5"/>
      </x:patternFill>
    </x:fill>
    <x:fill>
      <x:patternFill patternType="solid">
        <x:fgColor rgb="FF222B45"/>
      </x:patternFill>
    </x:fill>
    <x:fill>
      <x:patternFill patternType="solid">
        <x:fgColor rgb="FFFFFFFF"/>
      </x:patternFill>
    </x:fill>
  </x:fills>
  <x:borders count="6">
    <x:border/>
    <x:border>
      <x:bottom style="thick">
        <x:color rgb="FF1D2330"/>
      </x:bottom>
    </x:border>
    <x:border>
      <x:top style="thick">
        <x:color rgb="FF1D2330"/>
      </x:top>
    </x:border>
    <x:border>
      <x:bottom style="thin">
        <x:color rgb="FFBFBFBF"/>
      </x:bottom>
    </x:border>
    <x:border>
      <x:bottom style="thick">
        <x:color rgb="FF222B45"/>
      </x:bottom>
    </x:border>
    <x:border>
      <x:bottom style="thin">
        <x:color rgb="FFA6A6A6"/>
      </x:bottom>
    </x:border>
  </x:borders>
  <x:cellStyleXfs count="1">
    <x:xf numFmtId="0" fontId="0" fillId="0" borderId="0"/>
  </x:cellStyleXfs>
  <x:cellXfs count="24">
    <x:xf numFmtId="0" fontId="0" fillId="0" borderId="0" xfId="0"/>
    <x:xf numFmtId="14" fontId="0" fillId="0" borderId="0" xfId="0" applyNumberFormat="1"/>
    <x:xf numFmtId="165" fontId="2" fillId="2" borderId="0" xfId="0" applyNumberFormat="1" applyFont="1" applyFill="1"/>
    <x:xf numFmtId="1" fontId="2" fillId="2" borderId="0" xfId="0" applyNumberFormat="1" applyFont="1" applyFill="1"/>
    <x:xf numFmtId="14" fontId="2" fillId="2" borderId="0" xfId="0" applyNumberFormat="1" applyFont="1" applyFill="1"/>
    <x:xf numFmtId="0" fontId="3" fillId="0" borderId="0" xfId="0" applyFont="1"/>
    <x:xf numFmtId="165" fontId="1" fillId="0" borderId="0" xfId="0" applyNumberFormat="1" applyFont="1"/>
    <x:xf numFmtId="166" fontId="1" fillId="0" borderId="0" xfId="0" applyNumberFormat="1" applyFont="1"/>
    <x:xf numFmtId="167" fontId="0" fillId="0" borderId="0" xfId="0" applyNumberFormat="1"/>
    <x:xf numFmtId="166" fontId="0" fillId="0" borderId="0" xfId="0" applyNumberFormat="1"/>
    <x:xf numFmtId="0" fontId="7" fillId="3" borderId="1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/>
    </x:xf>
    <x:xf numFmtId="0" fontId="10" fillId="5" borderId="4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0" fillId="0" borderId="2" xfId="0" applyBorder="1" applyAlignment="1">
      <x:alignment vertical="top" wrapText="1"/>
    </x:xf>
    <x:xf numFmtId="0" fontId="0" fillId="0" borderId="0" xfId="0" applyAlignment="1">
      <x:alignment vertical="top" wrapText="1"/>
    </x:xf>
    <x:xf numFmtId="170" fontId="11" fillId="2" borderId="0" xfId="0" applyNumberFormat="1" applyFont="1" applyFill="1" applyAlignment="1">
      <x:alignment horizontal="right"/>
    </x:xf>
    <x:xf numFmtId="170" fontId="9" fillId="6" borderId="2" xfId="0" applyNumberFormat="1" applyFont="1" applyFill="1" applyBorder="1" applyAlignment="1">
      <x:alignment horizontal="right"/>
    </x:xf>
    <x:xf numFmtId="170" fontId="9" fillId="6" borderId="0" xfId="0" applyNumberFormat="1" applyFont="1" applyFill="1" applyBorder="1" applyAlignment="1">
      <x:alignment horizontal="right"/>
    </x:xf>
    <x:xf numFmtId="170" fontId="9" fillId="6" borderId="5" xfId="0" applyNumberFormat="1" applyFont="1" applyFill="1" applyBorder="1" applyAlignment="1">
      <x:alignment horizontal="right"/>
    </x:xf>
    <x:xf numFmtId="170" fontId="8" fillId="6" borderId="0" xfId="0" applyNumberFormat="1" applyFont="1" applyFill="1" applyAlignment="1">
      <x:alignment horizontal="right"/>
    </x:xf>
    <x:xf numFmtId="0" fontId="9" fillId="4" borderId="2" xfId="0" applyNumberFormat="1" applyFont="1" applyFill="1" applyBorder="1" applyAlignment="1">
      <x:alignment horizontal="left" wrapText="1"/>
    </x:xf>
    <x:xf numFmtId="0" fontId="9" fillId="4" borderId="0" xfId="0" applyNumberFormat="1" applyFont="1" applyFill="1" applyBorder="1" applyAlignment="1">
      <x:alignment horizontal="left" wrapText="1"/>
    </x:xf>
    <x:xf numFmtId="0" fontId="9" fillId="4" borderId="3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37afcf988487a" /><Relationship Type="http://schemas.openxmlformats.org/officeDocument/2006/relationships/theme" Target="/xl/theme/theme1.xml" Id="R4550c0744d944742" /><Relationship Type="http://schemas.openxmlformats.org/officeDocument/2006/relationships/sheetMetadata" Target="/xl/metadata1.xml" Id="R3a44fecaea224e98" /><Relationship Type="http://schemas.openxmlformats.org/officeDocument/2006/relationships/sharedStrings" Target="/xl/sharedStrings.xml" Id="R693dfb7521a042da" /><Relationship Type="http://schemas.openxmlformats.org/officeDocument/2006/relationships/worksheet" Target="/xl/worksheets/sheet1.xml" Id="R31d12b87389946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605d6350b24683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Evolução: Total Investido x Patrimônio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'Simulador FII'!$K$30</c:f>
              <c:strCache>
                <c:ptCount val="1"/>
                <c:pt idx="0">
                  <c:v>Total Investido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'Simulador FII'!$K$31:$K$150</c:f>
              <c:numCache>
                <c:formatCode>[$R$-416]\ #,##0.00</c:formatCode>
                <c:ptCount val="120"/>
                <c:pt idx="0">
                  <c:v>10500</c:v>
                </c:pt>
                <c:pt idx="1">
                  <c:v>11000</c:v>
                </c:pt>
                <c:pt idx="2">
                  <c:v>11500</c:v>
                </c:pt>
                <c:pt idx="3">
                  <c:v>12000</c:v>
                </c:pt>
                <c:pt idx="4">
                  <c:v>12500</c:v>
                </c:pt>
                <c:pt idx="5">
                  <c:v>13000</c:v>
                </c:pt>
                <c:pt idx="6">
                  <c:v>13500</c:v>
                </c:pt>
                <c:pt idx="7">
                  <c:v>14000</c:v>
                </c:pt>
                <c:pt idx="8">
                  <c:v>14500</c:v>
                </c:pt>
                <c:pt idx="9">
                  <c:v>15000</c:v>
                </c:pt>
                <c:pt idx="10">
                  <c:v>15500</c:v>
                </c:pt>
                <c:pt idx="11">
                  <c:v>16000</c:v>
                </c:pt>
                <c:pt idx="12">
                  <c:v>16500</c:v>
                </c:pt>
                <c:pt idx="13">
                  <c:v>17000</c:v>
                </c:pt>
                <c:pt idx="14">
                  <c:v>17500</c:v>
                </c:pt>
                <c:pt idx="15">
                  <c:v>18000</c:v>
                </c:pt>
                <c:pt idx="16">
                  <c:v>18500</c:v>
                </c:pt>
                <c:pt idx="17">
                  <c:v>19000</c:v>
                </c:pt>
                <c:pt idx="18">
                  <c:v>19500</c:v>
                </c:pt>
                <c:pt idx="19">
                  <c:v>20000</c:v>
                </c:pt>
                <c:pt idx="20">
                  <c:v>20500</c:v>
                </c:pt>
                <c:pt idx="21">
                  <c:v>21000</c:v>
                </c:pt>
                <c:pt idx="22">
                  <c:v>21500</c:v>
                </c:pt>
                <c:pt idx="23">
                  <c:v>22000</c:v>
                </c:pt>
                <c:pt idx="24">
                  <c:v>22500</c:v>
                </c:pt>
                <c:pt idx="25">
                  <c:v>23000</c:v>
                </c:pt>
                <c:pt idx="26">
                  <c:v>23500</c:v>
                </c:pt>
                <c:pt idx="27">
                  <c:v>24000</c:v>
                </c:pt>
                <c:pt idx="28">
                  <c:v>24500</c:v>
                </c:pt>
                <c:pt idx="29">
                  <c:v>25000</c:v>
                </c:pt>
                <c:pt idx="30">
                  <c:v>25500</c:v>
                </c:pt>
                <c:pt idx="31">
                  <c:v>26000</c:v>
                </c:pt>
                <c:pt idx="32">
                  <c:v>26500</c:v>
                </c:pt>
                <c:pt idx="33">
                  <c:v>27000</c:v>
                </c:pt>
                <c:pt idx="34">
                  <c:v>27500</c:v>
                </c:pt>
                <c:pt idx="35">
                  <c:v>28000</c:v>
                </c:pt>
                <c:pt idx="36">
                  <c:v>28500</c:v>
                </c:pt>
                <c:pt idx="37">
                  <c:v>29000</c:v>
                </c:pt>
                <c:pt idx="38">
                  <c:v>29500</c:v>
                </c:pt>
                <c:pt idx="39">
                  <c:v>30000</c:v>
                </c:pt>
                <c:pt idx="40">
                  <c:v>30500</c:v>
                </c:pt>
                <c:pt idx="41">
                  <c:v>31000</c:v>
                </c:pt>
                <c:pt idx="42">
                  <c:v>31500</c:v>
                </c:pt>
                <c:pt idx="43">
                  <c:v>32000</c:v>
                </c:pt>
                <c:pt idx="44">
                  <c:v>32500</c:v>
                </c:pt>
                <c:pt idx="45">
                  <c:v>33000</c:v>
                </c:pt>
                <c:pt idx="46">
                  <c:v>33500</c:v>
                </c:pt>
                <c:pt idx="47">
                  <c:v>34000</c:v>
                </c:pt>
                <c:pt idx="48">
                  <c:v>34500</c:v>
                </c:pt>
                <c:pt idx="49">
                  <c:v>35000</c:v>
                </c:pt>
                <c:pt idx="50">
                  <c:v>35500</c:v>
                </c:pt>
                <c:pt idx="51">
                  <c:v>36000</c:v>
                </c:pt>
                <c:pt idx="52">
                  <c:v>36500</c:v>
                </c:pt>
                <c:pt idx="53">
                  <c:v>37000</c:v>
                </c:pt>
                <c:pt idx="54">
                  <c:v>37500</c:v>
                </c:pt>
                <c:pt idx="55">
                  <c:v>38000</c:v>
                </c:pt>
                <c:pt idx="56">
                  <c:v>38500</c:v>
                </c:pt>
                <c:pt idx="57">
                  <c:v>39000</c:v>
                </c:pt>
                <c:pt idx="58">
                  <c:v>39500</c:v>
                </c:pt>
                <c:pt idx="59">
                  <c:v>40000</c:v>
                </c:pt>
                <c:pt idx="60">
                  <c:v>40500</c:v>
                </c:pt>
                <c:pt idx="61">
                  <c:v>41000</c:v>
                </c:pt>
                <c:pt idx="62">
                  <c:v>41500</c:v>
                </c:pt>
                <c:pt idx="63">
                  <c:v>42000</c:v>
                </c:pt>
                <c:pt idx="64">
                  <c:v>42500</c:v>
                </c:pt>
                <c:pt idx="65">
                  <c:v>43000</c:v>
                </c:pt>
                <c:pt idx="66">
                  <c:v>43500</c:v>
                </c:pt>
                <c:pt idx="67">
                  <c:v>44000</c:v>
                </c:pt>
                <c:pt idx="68">
                  <c:v>44500</c:v>
                </c:pt>
                <c:pt idx="69">
                  <c:v>45000</c:v>
                </c:pt>
                <c:pt idx="70">
                  <c:v>45500</c:v>
                </c:pt>
                <c:pt idx="71">
                  <c:v>46000</c:v>
                </c:pt>
                <c:pt idx="72">
                  <c:v>46500</c:v>
                </c:pt>
                <c:pt idx="73">
                  <c:v>47000</c:v>
                </c:pt>
                <c:pt idx="74">
                  <c:v>47500</c:v>
                </c:pt>
                <c:pt idx="75">
                  <c:v>48000</c:v>
                </c:pt>
                <c:pt idx="76">
                  <c:v>48500</c:v>
                </c:pt>
                <c:pt idx="77">
                  <c:v>49000</c:v>
                </c:pt>
                <c:pt idx="78">
                  <c:v>49500</c:v>
                </c:pt>
                <c:pt idx="79">
                  <c:v>50000</c:v>
                </c:pt>
                <c:pt idx="80">
                  <c:v>50500</c:v>
                </c:pt>
                <c:pt idx="81">
                  <c:v>51000</c:v>
                </c:pt>
                <c:pt idx="82">
                  <c:v>51500</c:v>
                </c:pt>
                <c:pt idx="83">
                  <c:v>52000</c:v>
                </c:pt>
                <c:pt idx="84">
                  <c:v>52500</c:v>
                </c:pt>
                <c:pt idx="85">
                  <c:v>53000</c:v>
                </c:pt>
                <c:pt idx="86">
                  <c:v>53500</c:v>
                </c:pt>
                <c:pt idx="87">
                  <c:v>54000</c:v>
                </c:pt>
                <c:pt idx="88">
                  <c:v>54500</c:v>
                </c:pt>
                <c:pt idx="89">
                  <c:v>55000</c:v>
                </c:pt>
                <c:pt idx="90">
                  <c:v>55500</c:v>
                </c:pt>
                <c:pt idx="91">
                  <c:v>56000</c:v>
                </c:pt>
                <c:pt idx="92">
                  <c:v>56500</c:v>
                </c:pt>
                <c:pt idx="93">
                  <c:v>57000</c:v>
                </c:pt>
                <c:pt idx="94">
                  <c:v>57500</c:v>
                </c:pt>
                <c:pt idx="95">
                  <c:v>58000</c:v>
                </c:pt>
                <c:pt idx="96">
                  <c:v>58500</c:v>
                </c:pt>
                <c:pt idx="97">
                  <c:v>59000</c:v>
                </c:pt>
                <c:pt idx="98">
                  <c:v>59500</c:v>
                </c:pt>
                <c:pt idx="99">
                  <c:v>60000</c:v>
                </c:pt>
                <c:pt idx="100">
                  <c:v>60500</c:v>
                </c:pt>
                <c:pt idx="101">
                  <c:v>61000</c:v>
                </c:pt>
                <c:pt idx="102">
                  <c:v>61500</c:v>
                </c:pt>
                <c:pt idx="103">
                  <c:v>62000</c:v>
                </c:pt>
                <c:pt idx="104">
                  <c:v>62500</c:v>
                </c:pt>
                <c:pt idx="105">
                  <c:v>63000</c:v>
                </c:pt>
                <c:pt idx="106">
                  <c:v>63500</c:v>
                </c:pt>
                <c:pt idx="107">
                  <c:v>64000</c:v>
                </c:pt>
                <c:pt idx="108">
                  <c:v>64500</c:v>
                </c:pt>
                <c:pt idx="109">
                  <c:v>65000</c:v>
                </c:pt>
                <c:pt idx="110">
                  <c:v>65500</c:v>
                </c:pt>
                <c:pt idx="111">
                  <c:v>66000</c:v>
                </c:pt>
                <c:pt idx="112">
                  <c:v>66500</c:v>
                </c:pt>
                <c:pt idx="113">
                  <c:v>67000</c:v>
                </c:pt>
                <c:pt idx="114">
                  <c:v>67500</c:v>
                </c:pt>
                <c:pt idx="115">
                  <c:v>68000</c:v>
                </c:pt>
                <c:pt idx="116">
                  <c:v>68500</c:v>
                </c:pt>
                <c:pt idx="117">
                  <c:v>69000</c:v>
                </c:pt>
                <c:pt idx="118">
                  <c:v>69500</c:v>
                </c:pt>
                <c:pt idx="119">
                  <c:v>70000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'Simulador FII'!$L$30</c:f>
              <c:strCache>
                <c:ptCount val="1"/>
                <c:pt idx="0">
                  <c:v>Patrimônio Final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'Simulador FII'!$L$31:$L$150</c:f>
              <c:numCache>
                <c:formatCode>[$R$-416]\ #,##0.00</c:formatCode>
                <c:ptCount val="120"/>
                <c:pt idx="0">
                  <c:v>10584</c:v>
                </c:pt>
                <c:pt idx="1">
                  <c:v>11215.346688000001</c:v>
                </c:pt>
                <c:pt idx="2">
                  <c:v>11854.289739350019</c:v>
                </c:pt>
                <c:pt idx="3">
                  <c:v>12500.920553493876</c:v>
                </c:pt>
                <c:pt idx="4">
                  <c:v>13155.331629593516</c:v>
                </c:pt>
                <c:pt idx="5">
                  <c:v>13817.616579760786</c:v>
                </c:pt>
                <c:pt idx="6">
                  <c:v>14487.870142448464</c:v>
                </c:pt>
                <c:pt idx="7">
                  <c:v>15166.188196002402</c:v>
                </c:pt>
                <c:pt idx="8">
                  <c:v>15852.66777237671</c:v>
                </c:pt>
                <c:pt idx="9">
                  <c:v>16547.407071013946</c:v>
                </c:pt>
                <c:pt idx="10">
                  <c:v>17250.505472892382</c:v>
                </c:pt>
                <c:pt idx="11">
                  <c:v>17962.063554742224</c:v>
                </c:pt>
                <c:pt idx="12">
                  <c:v>18682.183103432886</c:v>
                </c:pt>
                <c:pt idx="13">
                  <c:v>19410.967130533387</c:v>
                </c:pt>
                <c:pt idx="14">
                  <c:v>20148.519887047965</c:v>
                </c:pt>
                <c:pt idx="15">
                  <c:v>20894.94687832893</c:v>
                </c:pt>
                <c:pt idx="16">
                  <c:v>21650.354879168986</c:v>
                </c:pt>
                <c:pt idx="17">
                  <c:v>22414.851949075146</c:v>
                </c:pt>
                <c:pt idx="18">
                  <c:v>23188.547447726418</c:v>
                </c:pt>
                <c:pt idx="19">
                  <c:v>23971.552050617458</c:v>
                </c:pt>
                <c:pt idx="20">
                  <c:v>24763.977764890493</c:v>
                </c:pt>
                <c:pt idx="21">
                  <c:v>25565.93794535765</c:v>
                </c:pt>
                <c:pt idx="22">
                  <c:v>26377.547310716196</c:v>
                </c:pt>
                <c:pt idx="23">
                  <c:v>27198.92195995873</c:v>
                </c:pt>
                <c:pt idx="24">
                  <c:v>28030.179388980956</c:v>
                </c:pt>
                <c:pt idx="25">
                  <c:v>28871.438507389175</c:v>
                </c:pt>
                <c:pt idx="26">
                  <c:v>29722.81965551008</c:v>
                </c:pt>
                <c:pt idx="27">
                  <c:v>30584.444621605177</c:v>
                </c:pt>
                <c:pt idx="28">
                  <c:v>31456.436659292343</c:v>
                </c:pt>
                <c:pt idx="29">
                  <c:v>32338.920505176942</c:v>
                </c:pt>
                <c:pt idx="30">
                  <c:v>33232.02239669523</c:v>
                </c:pt>
                <c:pt idx="31">
                  <c:v>34135.87009017227</c:v>
                </c:pt>
                <c:pt idx="32">
                  <c:v>35050.592879097225</c:v>
                </c:pt>
                <c:pt idx="33">
                  <c:v>35976.32161261853</c:v>
                </c:pt>
                <c:pt idx="34">
                  <c:v>36913.18871426155</c:v>
                </c:pt>
                <c:pt idx="35">
                  <c:v>37861.32820087155</c:v>
                </c:pt>
                <c:pt idx="36">
                  <c:v>38820.87570178443</c:v>
                </c:pt>
                <c:pt idx="37">
                  <c:v>39791.96847822831</c:v>
                </c:pt>
                <c:pt idx="38">
                  <c:v>40774.745442958345</c:v>
                </c:pt>
                <c:pt idx="39">
                  <c:v>41769.34718012801</c:v>
                </c:pt>
                <c:pt idx="40">
                  <c:v>42775.91596539933</c:v>
                </c:pt>
                <c:pt idx="41">
                  <c:v>43794.59578629501</c:v>
                </c:pt>
                <c:pt idx="42">
                  <c:v>44825.53236279571</c:v>
                </c:pt>
                <c:pt idx="43">
                  <c:v>45868.873168184866</c:v>
                </c:pt>
                <c:pt idx="44">
                  <c:v>46924.76745014447</c:v>
                </c:pt>
                <c:pt idx="45">
                  <c:v>47993.366252104606</c:v>
                </c:pt>
                <c:pt idx="46">
                  <c:v>49074.82243484994</c:v>
                </c:pt>
                <c:pt idx="47">
                  <c:v>50169.290698386045</c:v>
                </c:pt>
                <c:pt idx="48">
                  <c:v>51276.927604069024</c:v>
                </c:pt>
                <c:pt idx="49">
                  <c:v>52397.89159700119</c:v>
                </c:pt>
                <c:pt idx="50">
                  <c:v>53532.343028696305</c:v>
                </c:pt>
                <c:pt idx="51">
                  <c:v>54680.44418001758</c:v>
                </c:pt>
                <c:pt idx="52">
                  <c:v>55842.35928439155</c:v>
                </c:pt>
                <c:pt idx="53">
                  <c:v>57018.25455130135</c:v>
                </c:pt>
                <c:pt idx="54">
                  <c:v>58208.298190062604</c:v>
                </c:pt>
                <c:pt idx="55">
                  <c:v>59412.66043388543</c:v>
                </c:pt>
                <c:pt idx="56">
                  <c:v>60631.513564225956</c:v>
                </c:pt>
                <c:pt idx="57">
                  <c:v>61865.031935430714</c:v>
                </c:pt>
                <c:pt idx="58">
                  <c:v>63113.39199967783</c:v>
                </c:pt>
                <c:pt idx="59">
                  <c:v>64376.77233221794</c:v>
                </c:pt>
                <c:pt idx="60">
                  <c:v>65655.35365691921</c:v>
                </c:pt>
                <c:pt idx="61">
                  <c:v>66949.31887211926</c:v>
                </c:pt>
                <c:pt idx="62">
                  <c:v>68258.8530767886</c:v>
                </c:pt>
                <c:pt idx="63">
                  <c:v>69584.14359700851</c:v>
                </c:pt>
                <c:pt idx="64">
                  <c:v>70925.38001276772</c:v>
                </c:pt>
                <c:pt idx="65">
                  <c:v>72282.75418508134</c:v>
                </c:pt>
                <c:pt idx="66">
                  <c:v>73656.46028343624</c:v>
                </c:pt>
                <c:pt idx="67">
                  <c:v>75046.69481356657</c:v>
                </c:pt>
                <c:pt idx="68">
                  <c:v>76453.6566455634</c:v>
                </c:pt>
                <c:pt idx="69">
                  <c:v>77877.54704232281</c:v>
                </c:pt>
                <c:pt idx="70">
                  <c:v>79318.56968833604</c:v>
                </c:pt>
                <c:pt idx="71">
                  <c:v>80776.93071882609</c:v>
                </c:pt>
                <c:pt idx="72">
                  <c:v>82252.83874923502</c:v>
                </c:pt>
                <c:pt idx="73">
                  <c:v>83746.5049050658</c:v>
                </c:pt>
                <c:pt idx="74">
                  <c:v>85258.14285208358</c:v>
                </c:pt>
                <c:pt idx="75">
                  <c:v>86787.96882687983</c:v>
                </c:pt>
                <c:pt idx="76">
                  <c:v>88336.20166780485</c:v>
                </c:pt>
                <c:pt idx="77">
                  <c:v>89903.06284627189</c:v>
                </c:pt>
                <c:pt idx="78">
                  <c:v>91488.77649843824</c:v>
                </c:pt>
                <c:pt idx="79">
                  <c:v>93093.56945726741</c:v>
                </c:pt>
                <c:pt idx="80">
                  <c:v>94717.67128497727</c:v>
                </c:pt>
                <c:pt idx="81">
                  <c:v>96361.31430587813</c:v>
                </c:pt>
                <c:pt idx="82">
                  <c:v>98024.73363960646</c:v>
                </c:pt>
                <c:pt idx="83">
                  <c:v>99708.1672347582</c:v>
                </c:pt>
                <c:pt idx="84">
                  <c:v>101411.85590292682</c:v>
                </c:pt>
                <c:pt idx="85">
                  <c:v>103136.04335315085</c:v>
                </c:pt>
                <c:pt idx="86">
                  <c:v>104880.97622677594</c:v>
                </c:pt>
                <c:pt idx="87">
                  <c:v>106646.9041327365</c:v>
                </c:pt>
                <c:pt idx="88">
                  <c:v>108434.0796832616</c:v>
                </c:pt>
                <c:pt idx="89">
                  <c:v>110242.75853001061</c:v>
                </c:pt>
                <c:pt idx="90">
                  <c:v>112073.1994006437</c:v>
                </c:pt>
                <c:pt idx="91">
                  <c:v>113925.66413583225</c:v>
                </c:pt>
                <c:pt idx="92">
                  <c:v>115800.41772671462</c:v>
                </c:pt>
                <c:pt idx="93">
                  <c:v>117697.72835280243</c:v>
                </c:pt>
                <c:pt idx="94">
                  <c:v>119617.86742034336</c:v>
                </c:pt>
                <c:pt idx="95">
                  <c:v>121561.10960114493</c:v>
                </c:pt>
                <c:pt idx="96">
                  <c:v>123527.7328718659</c:v>
                </c:pt>
                <c:pt idx="97">
                  <c:v>125518.01855378019</c:v>
                </c:pt>
                <c:pt idx="98">
                  <c:v>127532.2513530193</c:v>
                </c:pt>
                <c:pt idx="99">
                  <c:v>129570.71940129883</c:v>
                </c:pt>
                <c:pt idx="100">
                  <c:v>131633.71429713527</c:v>
                </c:pt>
                <c:pt idx="101">
                  <c:v>133721.5311475584</c:v>
                </c:pt>
                <c:pt idx="102">
                  <c:v>135834.4686103258</c:v>
                </c:pt>
                <c:pt idx="103">
                  <c:v>137972.82893664527</c:v>
                </c:pt>
                <c:pt idx="104">
                  <c:v>140136.918014411</c:v>
                </c:pt>
                <c:pt idx="105">
                  <c:v>142327.0454119604</c:v>
                </c:pt>
                <c:pt idx="106">
                  <c:v>144543.5244223571</c:v>
                </c:pt>
                <c:pt idx="107">
                  <c:v>146786.6721082069</c:v>
                </c:pt>
                <c:pt idx="108">
                  <c:v>149056.80934701287</c:v>
                </c:pt>
                <c:pt idx="109">
                  <c:v>151354.26087707607</c:v>
                </c:pt>
                <c:pt idx="110">
                  <c:v>153679.3553439491</c:v>
                </c:pt>
                <c:pt idx="111">
                  <c:v>156032.4253474475</c:v>
                </c:pt>
                <c:pt idx="112">
                  <c:v>158413.807489228</c:v>
                </c:pt>
                <c:pt idx="113">
                  <c:v>160823.8424209384</c:v>
                </c:pt>
                <c:pt idx="114">
                  <c:v>163262.87489294715</c:v>
                </c:pt>
                <c:pt idx="115">
                  <c:v>165731.25380365908</c:v>
                </c:pt>
                <c:pt idx="116">
                  <c:v>168229.3322494247</c:v>
                </c:pt>
                <c:pt idx="117">
                  <c:v>170757.46757504976</c:v>
                </c:pt>
                <c:pt idx="118">
                  <c:v>173316.02142491282</c:v>
                </c:pt>
                <c:pt idx="119">
                  <c:v>175905.35979469735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149920"/>
        <c:axId val="329435632"/>
      </c:lineChart>
      <c:catAx>
        <c:axId val="32714992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Meses da simulação</a:t>
                </a:r>
              </a:p>
            </c:rich>
          </c:tx>
          <c:overlay val="0"/>
          <c:txPr>
            <a:bodyPr xmlns:a="http://schemas.openxmlformats.org/drawingml/2006/main" rot="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29435632"/>
        <c:crosses val="autoZero"/>
        <c:lblOffset val="100"/>
      </c:catAx>
      <c:valAx>
        <c:axId val="32943563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Valor (R$)</a:t>
                </a:r>
              </a:p>
            </c:rich>
          </c:tx>
          <c:overlay val="0"/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[$R$-416]\ #,##0.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2714992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605d6350b246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02cc0e9dd7479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0" topLeftCell="A31" activePane="bottomLeft" state="frozen"/>
    </x:sheetView>
  </x:sheetViews>
  <x:sheetFormatPr defaultRowHeight="15"/>
  <x:cols>
    <x:col min="1" max="1" width="41.85546875" customWidth="1"/>
    <x:col min="2" max="2" width="20" customWidth="1"/>
    <x:col min="3" max="12" width="18.140625" customWidth="1"/>
  </x:cols>
  <x:sheetData>
    <x:row r="1" ht="27.950000762939453" customHeight="1">
      <x:c r="A1" s="13" t="s">
        <x:v>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15.75">
      <x:c r="A2" t="s">
        <x:v>1</x:v>
      </x:c>
      <x:c r="B2" t="s">
        <x:v>2</x:v>
      </x:c>
      <x:c r="D2" t="s">
        <x:v>3</x:v>
      </x:c>
      <x:c r="E2" s="1" t="n">
        <x:f>DATE(2026,9,24)</x:f>
        <x:v>46289</x:v>
      </x:c>
    </x:row>
    <x:row r="4" ht="15.75">
      <x:c r="A4" s="10" t="s">
        <x:v>4</x:v>
      </x:c>
      <x:c r="B4" s="10"/>
      <x:c r="D4" s="11" t="s">
        <x:v>5</x:v>
      </x:c>
      <x:c r="E4" s="11"/>
    </x:row>
    <x:row r="5" ht="15.75">
      <x:c r="A5" t="s">
        <x:v>6</x:v>
      </x:c>
      <x:c r="B5" s="16">
        <x:v>10000</x:v>
      </x:c>
      <x:c r="D5" s="21" t="s">
        <x:v>7</x:v>
      </x:c>
      <x:c r="E5" s="17" t="n" cm="1">
        <x:f t="array" ref="E5">INDEX(K:K,30+$B$10)</x:f>
        <x:v>70000</x:v>
      </x:c>
      <x:c r="G5" s="14"/>
      <x:c r="H5" s="14"/>
      <x:c r="I5" s="14"/>
      <x:c r="J5" s="14"/>
      <x:c r="K5" s="14"/>
      <x:c r="L5" s="14"/>
    </x:row>
    <x:row r="6">
      <x:c r="A6" t="s">
        <x:v>8</x:v>
      </x:c>
      <x:c r="B6" s="16">
        <x:v>500</x:v>
      </x:c>
      <x:c r="D6" s="22" t="s">
        <x:v>9</x:v>
      </x:c>
      <x:c r="E6" s="18" t="n" cm="1">
        <x:f t="array" ref="E6">INDEX(L:L,30+$B$10)</x:f>
        <x:v>175905.35979469735</x:v>
      </x:c>
      <x:c r="G6" s="15"/>
      <x:c r="H6" s="15"/>
      <x:c r="I6" s="15"/>
      <x:c r="J6" s="15"/>
      <x:c r="K6" s="15"/>
      <x:c r="L6" s="15"/>
    </x:row>
    <x:row r="7" ht="30">
      <x:c r="A7" t="s">
        <x:v>10</x:v>
      </x:c>
      <x:c r="B7" s="16">
        <x:v>100</x:v>
      </x:c>
      <x:c r="D7" s="22" t="s">
        <x:v>11</x:v>
      </x:c>
      <x:c r="E7" s="18" t="n">
        <x:f>SUMIF(A31:A150,"&lt;="&amp;$B$10,G31:G150)</x:f>
        <x:v>70883.63113954516</x:v>
      </x:c>
      <x:c r="G7" s="15"/>
      <x:c r="H7" s="15"/>
      <x:c r="I7" s="15"/>
      <x:c r="J7" s="15"/>
      <x:c r="K7" s="15"/>
      <x:c r="L7" s="15"/>
    </x:row>
    <x:row r="8" ht="30">
      <x:c r="A8" t="s">
        <x:v>12</x:v>
      </x:c>
      <x:c r="B8" s="2">
        <x:v>8.0000000000000002E-3</x:v>
      </x:c>
      <x:c r="D8" s="22" t="s">
        <x:v>13</x:v>
      </x:c>
      <x:c r="E8" s="18" t="n">
        <x:f>SUMIF(A31:A150,"&lt;="&amp;$B$10,J31:J150)</x:f>
        <x:v>0</x:v>
      </x:c>
      <x:c r="G8" s="15"/>
      <x:c r="H8" s="15"/>
      <x:c r="I8" s="15"/>
      <x:c r="J8" s="15"/>
      <x:c r="K8" s="15"/>
      <x:c r="L8" s="15"/>
    </x:row>
    <x:row r="9" ht="30">
      <x:c r="A9" t="s">
        <x:v>14</x:v>
      </x:c>
      <x:c r="B9" s="2">
        <x:v>4.0000000000000001E-3</x:v>
      </x:c>
      <x:c r="D9" s="22" t="s">
        <x:v>15</x:v>
      </x:c>
      <x:c r="E9" s="19" t="n" cm="1">
        <x:f t="array" ref="E9">INDEX(G:G,30+$B$10)</x:f>
        <x:v>1396.0742840848995</x:v>
      </x:c>
      <x:c r="G9" s="15"/>
      <x:c r="H9" s="15"/>
      <x:c r="I9" s="15"/>
      <x:c r="J9" s="15"/>
      <x:c r="K9" s="15"/>
      <x:c r="L9" s="15"/>
    </x:row>
    <x:row r="10" ht="30">
      <x:c r="A10" t="s">
        <x:v>16</x:v>
      </x:c>
      <x:c r="B10" s="3">
        <x:v>120</x:v>
      </x:c>
      <x:c r="D10" s="22" t="s">
        <x:v>17</x:v>
      </x:c>
      <x:c r="E10" s="6" t="n">
        <x:f>(E6+E8)/E5-1</x:f>
        <x:v>1.5129337113528192</x:v>
      </x:c>
      <x:c r="G10" s="15"/>
      <x:c r="H10" s="15"/>
      <x:c r="I10" s="15"/>
      <x:c r="J10" s="15"/>
      <x:c r="K10" s="15"/>
      <x:c r="L10" s="15"/>
    </x:row>
    <x:row r="11" ht="30">
      <x:c r="A11" t="s">
        <x:v>18</x:v>
      </x:c>
      <x:c r="B11" s="3">
        <x:v>1</x:v>
      </x:c>
      <x:c r="D11" s="23" t="s">
        <x:v>19</x:v>
      </x:c>
      <x:c r="E11" s="7" t="n" cm="1">
        <x:f t="array" ref="E11">INDEX(I:I,30+$B$10)</x:f>
        <x:v>1093.8738700651597</x:v>
      </x:c>
    </x:row>
    <x:row r="12">
      <x:c r="A12" t="s">
        <x:v>20</x:v>
      </x:c>
      <x:c r="B12" s="4" t="n">
        <x:f>DATE(2026,10,1)</x:f>
        <x:v>46296</x:v>
      </x:c>
    </x:row>
    <x:row r="14">
      <x:c r="A14" t="s">
        <x:v>21</x:v>
      </x:c>
      <x:c r="B14" s="5" t="str">
        <x:f>IF(AND(B10&gt;=1,B10&lt;=120,OR(B11=0,B11=1)),"OK","REVISAR PREMISSAS")</x:f>
        <x:v>OK</x:v>
      </x:c>
    </x:row>
    <x:row r="30" ht="15.75">
      <x:c r="A30" s="12" t="s">
        <x:v>22</x:v>
      </x:c>
      <x:c r="B30" s="12" t="s">
        <x:v>23</x:v>
      </x:c>
      <x:c r="C30" s="12" t="s">
        <x:v>24</x:v>
      </x:c>
      <x:c r="D30" s="12" t="s">
        <x:v>25</x:v>
      </x:c>
      <x:c r="E30" s="12" t="s">
        <x:v>26</x:v>
      </x:c>
      <x:c r="F30" s="12" t="s">
        <x:v>27</x:v>
      </x:c>
      <x:c r="G30" s="12" t="s">
        <x:v>28</x:v>
      </x:c>
      <x:c r="H30" s="12" t="s">
        <x:v>29</x:v>
      </x:c>
      <x:c r="I30" s="12" t="s">
        <x:v>30</x:v>
      </x:c>
      <x:c r="J30" s="12" t="s">
        <x:v>31</x:v>
      </x:c>
      <x:c r="K30" s="12" t="s">
        <x:v>32</x:v>
      </x:c>
      <x:c r="L30" s="12" t="s">
        <x:v>33</x:v>
      </x:c>
    </x:row>
    <x:row r="31" ht="15.75">
      <x:c r="A31">
        <x:v>1</x:v>
      </x:c>
      <x:c r="B31" s="8" t="n">
        <x:f>EDATE($B$12,A31-1)</x:f>
        <x:v>46296</x:v>
      </x:c>
      <x:c r="C31" s="20" t="n">
        <x:f>$B$7*(1+$B$9)^(A31-1)</x:f>
        <x:v>100</x:v>
      </x:c>
      <x:c r="D31" s="9" t="n">
        <x:f>$B$5/$B$7</x:f>
        <x:v>100</x:v>
      </x:c>
      <x:c r="E31" s="20" t="n">
        <x:f>$B$6</x:f>
        <x:v>500</x:v>
      </x:c>
      <x:c r="F31" s="9" t="n">
        <x:f>E31/C31</x:f>
        <x:v>5</x:v>
      </x:c>
      <x:c r="G31" s="20" t="n">
        <x:f>(D31+F31)*C31*$B$8</x:f>
        <x:v>84</x:v>
      </x:c>
      <x:c r="H31" s="9" t="n">
        <x:f>G31*$B$11/C31</x:f>
        <x:v>0.84</x:v>
      </x:c>
      <x:c r="I31" s="9" t="n">
        <x:f>D31+F31+H31</x:f>
        <x:v>105.84</x:v>
      </x:c>
      <x:c r="J31" s="20" t="n">
        <x:f>G31*(1-$B$11)</x:f>
        <x:v>0</x:v>
      </x:c>
      <x:c r="K31" s="20" t="n">
        <x:f>$B$5+SUM($E$31:E31)</x:f>
        <x:v>10500</x:v>
      </x:c>
      <x:c r="L31" s="20" t="n">
        <x:f>I31*C31</x:f>
        <x:v>10584</x:v>
      </x:c>
    </x:row>
    <x:row r="32">
      <x:c r="A32" t="n">
        <x:f>A31+1</x:f>
        <x:v>2</x:v>
      </x:c>
      <x:c r="B32" s="8" t="n">
        <x:f>EDATE($B$12,A32-1)</x:f>
        <x:v>46327</x:v>
      </x:c>
      <x:c r="C32" s="20" t="n">
        <x:f>$B$7*(1+$B$9)^(A32-1)</x:f>
        <x:v>100.4</x:v>
      </x:c>
      <x:c r="D32" s="9" t="n">
        <x:f>I31</x:f>
        <x:v>105.84</x:v>
      </x:c>
      <x:c r="E32" s="20" t="n">
        <x:f>$B$6</x:f>
        <x:v>500</x:v>
      </x:c>
      <x:c r="F32" s="9" t="n">
        <x:f>E32/C32</x:f>
        <x:v>4.9800796812749</x:v>
      </x:c>
      <x:c r="G32" s="20" t="n">
        <x:f>(D32+F32)*C32*$B$8</x:f>
        <x:v>89.01068800000002</x:v>
      </x:c>
      <x:c r="H32" s="9" t="n">
        <x:f>G32*$B$11/C32</x:f>
        <x:v>0.8865606374501993</x:v>
      </x:c>
      <x:c r="I32" s="9" t="n">
        <x:f>D32+F32+H32</x:f>
        <x:v>111.7066403187251</x:v>
      </x:c>
      <x:c r="J32" s="20" t="n">
        <x:f>G32*(1-$B$11)</x:f>
        <x:v>0</x:v>
      </x:c>
      <x:c r="K32" s="20" t="n">
        <x:f>$B$5+SUM($E$31:E32)</x:f>
        <x:v>11000</x:v>
      </x:c>
      <x:c r="L32" s="20" t="n">
        <x:f>I32*C32</x:f>
        <x:v>11215.346688000001</x:v>
      </x:c>
    </x:row>
    <x:row r="33">
      <x:c r="A33" t="n">
        <x:f t="shared" ref="A33:A96" si="0">A32+1</x:f>
        <x:v>3</x:v>
      </x:c>
      <x:c r="B33" s="8" t="n">
        <x:f t="shared" ref="B33:B96" si="1">EDATE($B$12,A33-1)</x:f>
        <x:v>46357</x:v>
      </x:c>
      <x:c r="C33" s="20" t="n">
        <x:f t="shared" ref="C33:C96" si="2">$B$7*(1+$B$9)^(A33-1)</x:f>
        <x:v>100.80160000000001</x:v>
      </x:c>
      <x:c r="D33" s="9" t="n">
        <x:f t="shared" ref="D33:D96" si="3">I32</x:f>
        <x:v>111.7066403187251</x:v>
      </x:c>
      <x:c r="E33" s="20" t="n">
        <x:f t="shared" ref="E33:E96" si="4">$B$6</x:f>
        <x:v>500</x:v>
      </x:c>
      <x:c r="F33" s="9" t="n">
        <x:f t="shared" ref="F33:F96" si="5">E33/C33</x:f>
        <x:v>4.960238726369423</x:v>
      </x:c>
      <x:c r="G33" s="20" t="n">
        <x:f t="shared" ref="G33:G96" si="6">(D33+F33)*C33*$B$8</x:f>
        <x:v>94.08166459801602</x:v>
      </x:c>
      <x:c r="H33" s="9" t="n">
        <x:f t="shared" ref="H33:H96" si="7">G33*$B$11/C33</x:f>
        <x:v>0.9333350323607563</x:v>
      </x:c>
      <x:c r="I33" s="9" t="n">
        <x:f t="shared" ref="I33:I96" si="8">D33+F33+H33</x:f>
        <x:v>117.60021407745529</x:v>
      </x:c>
      <x:c r="J33" s="20" t="n">
        <x:f t="shared" ref="J33:J96" si="9">G33*(1-$B$11)</x:f>
        <x:v>0</x:v>
      </x:c>
      <x:c r="K33" s="20" t="n">
        <x:f>$B$5+SUM($E$31:E33)</x:f>
        <x:v>11500</x:v>
      </x:c>
      <x:c r="L33" s="20" t="n">
        <x:f t="shared" ref="L33:L96" si="10">I33*C33</x:f>
        <x:v>11854.289739350019</x:v>
      </x:c>
    </x:row>
    <x:row r="34">
      <x:c r="A34">
        <x:f t="shared" si="0"/>
        <x:v>4</x:v>
      </x:c>
      <x:c r="B34" s="8">
        <x:f t="shared" si="1"/>
        <x:v>46388</x:v>
      </x:c>
      <x:c r="C34" s="20">
        <x:f t="shared" si="2"/>
        <x:v>101.2048064</x:v>
      </x:c>
      <x:c r="D34" s="9">
        <x:f t="shared" si="3"/>
        <x:v>117.60021407745529</x:v>
      </x:c>
      <x:c r="E34" s="20">
        <x:f t="shared" si="4"/>
        <x:v>500</x:v>
      </x:c>
      <x:c r="F34" s="9">
        <x:f t="shared" si="5"/>
        <x:v>4.9404768190930506</x:v>
      </x:c>
      <x:c r="G34" s="20">
        <x:f t="shared" si="6"/>
        <x:v>99.213655186459334</x:v>
      </x:c>
      <x:c r="H34" s="9">
        <x:f t="shared" si="7"/>
        <x:v>0.98032552717238675</x:v>
      </x:c>
      <x:c r="I34" s="9">
        <x:f t="shared" si="8"/>
        <x:v>123.52101642372072</x:v>
      </x:c>
      <x:c r="J34" s="20">
        <x:f t="shared" si="9"/>
        <x:v>0</x:v>
      </x:c>
      <x:c r="K34" s="20" t="n">
        <x:f>$B$5+SUM($E$31:E34)</x:f>
        <x:v>12000</x:v>
      </x:c>
      <x:c r="L34" s="20">
        <x:f t="shared" si="10"/>
        <x:v>12500.920553493876</x:v>
      </x:c>
    </x:row>
    <x:row r="35">
      <x:c r="A35">
        <x:f t="shared" si="0"/>
        <x:v>5</x:v>
      </x:c>
      <x:c r="B35" s="8">
        <x:f t="shared" si="1"/>
        <x:v>46419</x:v>
      </x:c>
      <x:c r="C35" s="20">
        <x:f t="shared" si="2"/>
        <x:v>101.6096256256</x:v>
      </x:c>
      <x:c r="D35" s="9">
        <x:f t="shared" si="3"/>
        <x:v>123.52101642372072</x:v>
      </x:c>
      <x:c r="E35" s="20">
        <x:f t="shared" si="4"/>
        <x:v>500</x:v>
      </x:c>
      <x:c r="F35" s="9">
        <x:f t="shared" si="5"/>
        <x:v>4.9207936445149905</x:v>
      </x:c>
      <x:c r="G35" s="20">
        <x:f t="shared" si="6"/>
        <x:v>104.40739388566283</x:v>
      </x:c>
      <x:c r="H35" s="9">
        <x:f t="shared" si="7"/>
        <x:v>1.0275344805458859</x:v>
      </x:c>
      <x:c r="I35" s="9">
        <x:f t="shared" si="8"/>
        <x:v>129.46934454878161</x:v>
      </x:c>
      <x:c r="J35" s="20">
        <x:f t="shared" si="9"/>
        <x:v>0</x:v>
      </x:c>
      <x:c r="K35" s="20" t="n">
        <x:f>$B$5+SUM($E$31:E35)</x:f>
        <x:v>12500</x:v>
      </x:c>
      <x:c r="L35" s="20">
        <x:f t="shared" si="10"/>
        <x:v>13155.331629593516</x:v>
      </x:c>
    </x:row>
    <x:row r="36">
      <x:c r="A36">
        <x:f t="shared" si="0"/>
        <x:v>6</x:v>
      </x:c>
      <x:c r="B36" s="8">
        <x:f t="shared" si="1"/>
        <x:v>46447</x:v>
      </x:c>
      <x:c r="C36" s="20">
        <x:f t="shared" si="2"/>
        <x:v>102.0160641281024</x:v>
      </x:c>
      <x:c r="D36" s="9">
        <x:f t="shared" si="3"/>
        <x:v>129.46934454878161</x:v>
      </x:c>
      <x:c r="E36" s="20">
        <x:f t="shared" si="4"/>
        <x:v>500</x:v>
      </x:c>
      <x:c r="F36" s="9">
        <x:f t="shared" si="5"/>
        <x:v>4.9011888889591537</x:v>
      </x:c>
      <x:c r="G36" s="20">
        <x:f t="shared" si="6"/>
        <x:v>109.66362364889511</x:v>
      </x:c>
      <x:c r="H36" s="9">
        <x:f t="shared" si="7"/>
        <x:v>1.074964267501926</x:v>
      </x:c>
      <x:c r="I36" s="9">
        <x:f t="shared" si="8"/>
        <x:v>135.4454977052427</x:v>
      </x:c>
      <x:c r="J36" s="20">
        <x:f t="shared" si="9"/>
        <x:v>0</x:v>
      </x:c>
      <x:c r="K36" s="20" t="n">
        <x:f>$B$5+SUM($E$31:E36)</x:f>
        <x:v>13000</x:v>
      </x:c>
      <x:c r="L36" s="20">
        <x:f t="shared" si="10"/>
        <x:v>13817.616579760786</x:v>
      </x:c>
    </x:row>
    <x:row r="37">
      <x:c r="A37">
        <x:f t="shared" si="0"/>
        <x:v>7</x:v>
      </x:c>
      <x:c r="B37" s="8">
        <x:f t="shared" si="1"/>
        <x:v>46478</x:v>
      </x:c>
      <x:c r="C37" s="20">
        <x:f t="shared" si="2"/>
        <x:v>102.4241283846148</x:v>
      </x:c>
      <x:c r="D37" s="9">
        <x:f t="shared" si="3"/>
        <x:v>135.4454977052427</x:v>
      </x:c>
      <x:c r="E37" s="20">
        <x:f t="shared" si="4"/>
        <x:v>500</x:v>
      </x:c>
      <x:c r="F37" s="9">
        <x:f t="shared" si="5"/>
        <x:v>4.8816622399991578</x:v>
      </x:c>
      <x:c r="G37" s="20">
        <x:f t="shared" si="6"/>
        <x:v>114.98309636863861</x:v>
      </x:c>
      <x:c r="H37" s="9">
        <x:f t="shared" si="7"/>
        <x:v>1.1226172795619347</x:v>
      </x:c>
      <x:c r="I37" s="9">
        <x:f t="shared" si="8"/>
        <x:v>141.44977722480377</x:v>
      </x:c>
      <x:c r="J37" s="20">
        <x:f t="shared" si="9"/>
        <x:v>0</x:v>
      </x:c>
      <x:c r="K37" s="20" t="n">
        <x:f>$B$5+SUM($E$31:E37)</x:f>
        <x:v>13500</x:v>
      </x:c>
      <x:c r="L37" s="20">
        <x:f t="shared" si="10"/>
        <x:v>14487.870142448464</x:v>
      </x:c>
    </x:row>
    <x:row r="38">
      <x:c r="A38">
        <x:f t="shared" si="0"/>
        <x:v>8</x:v>
      </x:c>
      <x:c r="B38" s="8">
        <x:f t="shared" si="1"/>
        <x:v>46508</x:v>
      </x:c>
      <x:c r="C38" s="20">
        <x:f t="shared" si="2"/>
        <x:v>102.83382489815327</x:v>
      </x:c>
      <x:c r="D38" s="9">
        <x:f t="shared" si="3"/>
        <x:v>141.44977722480377</x:v>
      </x:c>
      <x:c r="E38" s="20">
        <x:f t="shared" si="4"/>
        <x:v>500</x:v>
      </x:c>
      <x:c r="F38" s="9">
        <x:f t="shared" si="5"/>
        <x:v>4.8622133864533437</x:v>
      </x:c>
      <x:c r="G38" s="20">
        <x:f t="shared" si="6"/>
        <x:v>120.36657298414606</x:v>
      </x:c>
      <x:c r="H38" s="9">
        <x:f t="shared" si="7"/>
        <x:v>1.1704959248900568</x:v>
      </x:c>
      <x:c r="I38" s="9">
        <x:f t="shared" si="8"/>
        <x:v>147.48248653614715</x:v>
      </x:c>
      <x:c r="J38" s="20">
        <x:f t="shared" si="9"/>
        <x:v>0</x:v>
      </x:c>
      <x:c r="K38" s="20" t="n">
        <x:f>$B$5+SUM($E$31:E38)</x:f>
        <x:v>14000</x:v>
      </x:c>
      <x:c r="L38" s="20">
        <x:f t="shared" si="10"/>
        <x:v>15166.188196002402</x:v>
      </x:c>
    </x:row>
    <x:row r="39">
      <x:c r="A39">
        <x:f t="shared" si="0"/>
        <x:v>9</x:v>
      </x:c>
      <x:c r="B39" s="8">
        <x:f t="shared" si="1"/>
        <x:v>46539</x:v>
      </x:c>
      <x:c r="C39" s="20">
        <x:f t="shared" si="2"/>
        <x:v>103.2451601977459</x:v>
      </x:c>
      <x:c r="D39" s="9">
        <x:f t="shared" si="3"/>
        <x:v>147.48248653614715</x:v>
      </x:c>
      <x:c r="E39" s="20">
        <x:f t="shared" si="4"/>
        <x:v>500</x:v>
      </x:c>
      <x:c r="F39" s="9">
        <x:f t="shared" si="5"/>
        <x:v>4.842842018379824</x:v>
      </x:c>
      <x:c r="G39" s="20">
        <x:f t="shared" si="6"/>
        <x:v>125.81482359029133</x:v>
      </x:c>
      <x:c r="H39" s="9">
        <x:f t="shared" si="7"/>
        <x:v>1.2186026284362157</x:v>
      </x:c>
      <x:c r="I39" s="9">
        <x:f t="shared" si="8"/>
        <x:v>153.54393118296321</x:v>
      </x:c>
      <x:c r="J39" s="20">
        <x:f t="shared" si="9"/>
        <x:v>0</x:v>
      </x:c>
      <x:c r="K39" s="20" t="n">
        <x:f>$B$5+SUM($E$31:E39)</x:f>
        <x:v>14500</x:v>
      </x:c>
      <x:c r="L39" s="20">
        <x:f t="shared" si="10"/>
        <x:v>15852.66777237671</x:v>
      </x:c>
    </x:row>
    <x:row r="40">
      <x:c r="A40">
        <x:f t="shared" si="0"/>
        <x:v>10</x:v>
      </x:c>
      <x:c r="B40" s="8">
        <x:f t="shared" si="1"/>
        <x:v>46569</x:v>
      </x:c>
      <x:c r="C40" s="20">
        <x:f t="shared" si="2"/>
        <x:v>103.65814083853688</x:v>
      </x:c>
      <x:c r="D40" s="9">
        <x:f t="shared" si="3"/>
        <x:v>153.54393118296321</x:v>
      </x:c>
      <x:c r="E40" s="20">
        <x:f t="shared" si="4"/>
        <x:v>500</x:v>
      </x:c>
      <x:c r="F40" s="9">
        <x:f t="shared" si="5"/>
        <x:v>4.823547827071538</x:v>
      </x:c>
      <x:c r="G40" s="20">
        <x:f t="shared" si="6"/>
        <x:v>131.3286275477297</x:v>
      </x:c>
      <x:c r="H40" s="9">
        <x:f t="shared" si="7"/>
        <x:v>1.2669398320802778</x:v>
      </x:c>
      <x:c r="I40" s="9">
        <x:f t="shared" si="8"/>
        <x:v>159.63441884211502</x:v>
      </x:c>
      <x:c r="J40" s="20">
        <x:f t="shared" si="9"/>
        <x:v>0</x:v>
      </x:c>
      <x:c r="K40" s="20" t="n">
        <x:f>$B$5+SUM($E$31:E40)</x:f>
        <x:v>15000</x:v>
      </x:c>
      <x:c r="L40" s="20">
        <x:f t="shared" si="10"/>
        <x:v>16547.407071013946</x:v>
      </x:c>
    </x:row>
    <x:row r="41">
      <x:c r="A41">
        <x:f t="shared" si="0"/>
        <x:v>11</x:v>
      </x:c>
      <x:c r="B41" s="8">
        <x:f t="shared" si="1"/>
        <x:v>46600</x:v>
      </x:c>
      <x:c r="C41" s="20">
        <x:f t="shared" si="2"/>
        <x:v>104.07277340189103</x:v>
      </x:c>
      <x:c r="D41" s="9">
        <x:f t="shared" si="3"/>
        <x:v>159.63441884211502</x:v>
      </x:c>
      <x:c r="E41" s="20">
        <x:f t="shared" si="4"/>
        <x:v>500</x:v>
      </x:c>
      <x:c r="F41" s="9">
        <x:f t="shared" si="5"/>
        <x:v>4.8043305050513325</x:v>
      </x:c>
      <x:c r="G41" s="20">
        <x:f t="shared" si="6"/>
        <x:v>136.908773594384</x:v>
      </x:c>
      <x:c r="H41" s="9">
        <x:f t="shared" si="7"/>
        <x:v>1.3155099947773308</x:v>
      </x:c>
      <x:c r="I41" s="9">
        <x:f t="shared" si="8"/>
        <x:v>165.75425934194368</x:v>
      </x:c>
      <x:c r="J41" s="20">
        <x:f t="shared" si="9"/>
        <x:v>0</x:v>
      </x:c>
      <x:c r="K41" s="20" t="n">
        <x:f>$B$5+SUM($E$31:E41)</x:f>
        <x:v>15500</x:v>
      </x:c>
      <x:c r="L41" s="20">
        <x:f t="shared" si="10"/>
        <x:v>17250.505472892382</x:v>
      </x:c>
    </x:row>
    <x:row r="42">
      <x:c r="A42">
        <x:f t="shared" si="0"/>
        <x:v>12</x:v>
      </x:c>
      <x:c r="B42" s="8">
        <x:f t="shared" si="1"/>
        <x:v>46631</x:v>
      </x:c>
      <x:c r="C42" s="20">
        <x:f t="shared" si="2"/>
        <x:v>104.4890644954986</x:v>
      </x:c>
      <x:c r="D42" s="9">
        <x:f t="shared" si="3"/>
        <x:v>165.75425934194368</x:v>
      </x:c>
      <x:c r="E42" s="20">
        <x:f t="shared" si="4"/>
        <x:v>500</x:v>
      </x:c>
      <x:c r="F42" s="9">
        <x:f t="shared" si="5"/>
        <x:v>4.785189746067064</x:v>
      </x:c>
      <x:c r="G42" s="20">
        <x:f t="shared" si="6"/>
        <x:v>142.55605995827162</x:v>
      </x:c>
      <x:c r="H42" s="9">
        <x:f t="shared" si="7"/>
        <x:v>1.3643155927040858</x:v>
      </x:c>
      <x:c r="I42" s="9">
        <x:f t="shared" si="8"/>
        <x:v>171.90376468071483</x:v>
      </x:c>
      <x:c r="J42" s="20">
        <x:f t="shared" si="9"/>
        <x:v>0</x:v>
      </x:c>
      <x:c r="K42" s="20" t="n">
        <x:f>$B$5+SUM($E$31:E42)</x:f>
        <x:v>16000</x:v>
      </x:c>
      <x:c r="L42" s="20">
        <x:f t="shared" si="10"/>
        <x:v>17962.063554742224</x:v>
      </x:c>
    </x:row>
    <x:row r="43">
      <x:c r="A43">
        <x:f t="shared" si="0"/>
        <x:v>13</x:v>
      </x:c>
      <x:c r="B43" s="8">
        <x:f t="shared" si="1"/>
        <x:v>46661</x:v>
      </x:c>
      <x:c r="C43" s="20">
        <x:f t="shared" si="2"/>
        <x:v>104.90702075348059</x:v>
      </x:c>
      <x:c r="D43" s="9">
        <x:f t="shared" si="3"/>
        <x:v>171.90376468071483</x:v>
      </x:c>
      <x:c r="E43" s="20">
        <x:f t="shared" si="4"/>
        <x:v>500</x:v>
      </x:c>
      <x:c r="F43" s="9">
        <x:f t="shared" si="5"/>
        <x:v>4.7661252450867169</x:v>
      </x:c>
      <x:c r="G43" s="20">
        <x:f t="shared" si="6"/>
        <x:v>148.27129447168957</x:v>
      </x:c>
      <x:c r="H43" s="9">
        <x:f t="shared" si="7"/>
        <x:v>1.4133591194064126</x:v>
      </x:c>
      <x:c r="I43" s="9">
        <x:f t="shared" si="8"/>
        <x:v>178.08324904520796</x:v>
      </x:c>
      <x:c r="J43" s="20">
        <x:f t="shared" si="9"/>
        <x:v>0</x:v>
      </x:c>
      <x:c r="K43" s="20" t="n">
        <x:f>$B$5+SUM($E$31:E43)</x:f>
        <x:v>16500</x:v>
      </x:c>
      <x:c r="L43" s="20">
        <x:f t="shared" si="10"/>
        <x:v>18682.183103432886</x:v>
      </x:c>
    </x:row>
    <x:row r="44">
      <x:c r="A44">
        <x:f t="shared" si="0"/>
        <x:v>14</x:v>
      </x:c>
      <x:c r="B44" s="8">
        <x:f t="shared" si="1"/>
        <x:v>46692</x:v>
      </x:c>
      <x:c r="C44" s="20">
        <x:f t="shared" si="2"/>
        <x:v>105.32664883649451</x:v>
      </x:c>
      <x:c r="D44" s="9">
        <x:f t="shared" si="3"/>
        <x:v>178.08324904520796</x:v>
      </x:c>
      <x:c r="E44" s="20">
        <x:f t="shared" si="4"/>
        <x:v>500</x:v>
      </x:c>
      <x:c r="F44" s="9">
        <x:f t="shared" si="5"/>
        <x:v>4.7471366982935432</x:v>
      </x:c>
      <x:c r="G44" s="20">
        <x:f t="shared" si="6"/>
        <x:v>154.05529468677292</x:v>
      </x:c>
      <x:c r="H44" s="9">
        <x:f t="shared" si="7"/>
        <x:v>1.462643085948012</x:v>
      </x:c>
      <x:c r="I44" s="9">
        <x:f t="shared" si="8"/>
        <x:v>184.2930288294495</x:v>
      </x:c>
      <x:c r="J44" s="20">
        <x:f t="shared" si="9"/>
        <x:v>0</x:v>
      </x:c>
      <x:c r="K44" s="20" t="n">
        <x:f>$B$5+SUM($E$31:E44)</x:f>
        <x:v>17000</x:v>
      </x:c>
      <x:c r="L44" s="20">
        <x:f t="shared" si="10"/>
        <x:v>19410.967130533387</x:v>
      </x:c>
    </x:row>
    <x:row r="45">
      <x:c r="A45">
        <x:f t="shared" si="0"/>
        <x:v>15</x:v>
      </x:c>
      <x:c r="B45" s="8">
        <x:f t="shared" si="1"/>
        <x:v>46722</x:v>
      </x:c>
      <x:c r="C45" s="20">
        <x:f t="shared" si="2"/>
        <x:v>105.7479554318405</x:v>
      </x:c>
      <x:c r="D45" s="9">
        <x:f t="shared" si="3"/>
        <x:v>184.2930288294495</x:v>
      </x:c>
      <x:c r="E45" s="20">
        <x:f t="shared" si="4"/>
        <x:v>500</x:v>
      </x:c>
      <x:c r="F45" s="9">
        <x:f t="shared" si="5"/>
        <x:v>4.7282238030812183</x:v>
      </x:c>
      <x:c r="G45" s="20">
        <x:f t="shared" si="6"/>
        <x:v>159.90888799244416</x:v>
      </x:c>
      <x:c r="H45" s="9">
        <x:f t="shared" si="7"/>
        <x:v>1.5121700210602458</x:v>
      </x:c>
      <x:c r="I45" s="9">
        <x:f t="shared" si="8"/>
        <x:v>190.53342265359097</x:v>
      </x:c>
      <x:c r="J45" s="20">
        <x:f t="shared" si="9"/>
        <x:v>0</x:v>
      </x:c>
      <x:c r="K45" s="20" t="n">
        <x:f>$B$5+SUM($E$31:E45)</x:f>
        <x:v>17500</x:v>
      </x:c>
      <x:c r="L45" s="20">
        <x:f t="shared" si="10"/>
        <x:v>20148.519887047965</x:v>
      </x:c>
    </x:row>
    <x:row r="46">
      <x:c r="A46">
        <x:f t="shared" si="0"/>
        <x:v>16</x:v>
      </x:c>
      <x:c r="B46" s="8">
        <x:f t="shared" si="1"/>
        <x:v>46753</x:v>
      </x:c>
      <x:c r="C46" s="20">
        <x:f t="shared" si="2"/>
        <x:v>106.17094725356786</x:v>
      </x:c>
      <x:c r="D46" s="9">
        <x:f t="shared" si="3"/>
        <x:v>190.53342265359097</x:v>
      </x:c>
      <x:c r="E46" s="20">
        <x:f t="shared" si="4"/>
        <x:v>500</x:v>
      </x:c>
      <x:c r="F46" s="9">
        <x:f t="shared" si="5"/>
        <x:v>4.7093862580490216</x:v>
      </x:c>
      <x:c r="G46" s="20">
        <x:f t="shared" si="6"/>
        <x:v>165.83291173276928</x:v>
      </x:c>
      <x:c r="H46" s="9">
        <x:f t="shared" si="7"/>
        <x:v>1.56194247129312</x:v>
      </x:c>
      <x:c r="I46" s="9">
        <x:f t="shared" si="8"/>
        <x:v>196.80475138293312</x:v>
      </x:c>
      <x:c r="J46" s="20">
        <x:f t="shared" si="9"/>
        <x:v>0</x:v>
      </x:c>
      <x:c r="K46" s="20" t="n">
        <x:f>$B$5+SUM($E$31:E46)</x:f>
        <x:v>18000</x:v>
      </x:c>
      <x:c r="L46" s="20">
        <x:f t="shared" si="10"/>
        <x:v>20894.94687832893</x:v>
      </x:c>
    </x:row>
    <x:row r="47">
      <x:c r="A47">
        <x:f t="shared" si="0"/>
        <x:v>17</x:v>
      </x:c>
      <x:c r="B47" s="8">
        <x:f t="shared" si="1"/>
        <x:v>46784</x:v>
      </x:c>
      <x:c r="C47" s="20">
        <x:f t="shared" si="2"/>
        <x:v>106.59563104258214</x:v>
      </x:c>
      <x:c r="D47" s="9">
        <x:f t="shared" si="3"/>
        <x:v>196.80475138293312</x:v>
      </x:c>
      <x:c r="E47" s="20">
        <x:f t="shared" si="4"/>
        <x:v>500</x:v>
      </x:c>
      <x:c r="F47" s="9">
        <x:f t="shared" si="5"/>
        <x:v>4.6906237629970331</x:v>
      </x:c>
      <x:c r="G47" s="20">
        <x:f t="shared" si="6"/>
        <x:v>171.82821332673799</x:v>
      </x:c>
      <x:c r="H47" s="9">
        <x:f t="shared" si="7"/>
        <x:v>1.6119630011674415</x:v>
      </x:c>
      <x:c r="I47" s="9">
        <x:f t="shared" si="8"/>
        <x:v>203.10733814709761</x:v>
      </x:c>
      <x:c r="J47" s="20">
        <x:f t="shared" si="9"/>
        <x:v>0</x:v>
      </x:c>
      <x:c r="K47" s="20" t="n">
        <x:f>$B$5+SUM($E$31:E47)</x:f>
        <x:v>18500</x:v>
      </x:c>
      <x:c r="L47" s="20">
        <x:f t="shared" si="10"/>
        <x:v>21650.354879168986</x:v>
      </x:c>
    </x:row>
    <x:row r="48">
      <x:c r="A48">
        <x:f t="shared" si="0"/>
        <x:v>18</x:v>
      </x:c>
      <x:c r="B48" s="8">
        <x:f t="shared" si="1"/>
        <x:v>46813</x:v>
      </x:c>
      <x:c r="C48" s="20">
        <x:f t="shared" si="2"/>
        <x:v>107.02201356675248</x:v>
      </x:c>
      <x:c r="D48" s="9">
        <x:f t="shared" si="3"/>
        <x:v>203.10733814709761</x:v>
      </x:c>
      <x:c r="E48" s="20">
        <x:f t="shared" si="4"/>
        <x:v>500</x:v>
      </x:c>
      <x:c r="F48" s="9">
        <x:f t="shared" si="5"/>
        <x:v>4.6719360189213477</x:v>
      </x:c>
      <x:c r="G48" s="20">
        <x:f t="shared" si="6"/>
        <x:v>177.8956503894853</x:v>
      </x:c>
      <x:c r="H48" s="9">
        <x:f t="shared" si="7"/>
        <x:v>1.6622341933281515</x:v>
      </x:c>
      <x:c r="I48" s="9">
        <x:f t="shared" si="8"/>
        <x:v>209.4415083593471</x:v>
      </x:c>
      <x:c r="J48" s="20">
        <x:f t="shared" si="9"/>
        <x:v>0</x:v>
      </x:c>
      <x:c r="K48" s="20" t="n">
        <x:f>$B$5+SUM($E$31:E48)</x:f>
        <x:v>19000</x:v>
      </x:c>
      <x:c r="L48" s="20">
        <x:f t="shared" si="10"/>
        <x:v>22414.851949075146</x:v>
      </x:c>
    </x:row>
    <x:row r="49">
      <x:c r="A49">
        <x:f t="shared" si="0"/>
        <x:v>19</x:v>
      </x:c>
      <x:c r="B49" s="8">
        <x:f t="shared" si="1"/>
        <x:v>46844</x:v>
      </x:c>
      <x:c r="C49" s="20">
        <x:f t="shared" si="2"/>
        <x:v>107.45010162101948</x:v>
      </x:c>
      <x:c r="D49" s="9">
        <x:f t="shared" si="3"/>
        <x:v>209.4415083593471</x:v>
      </x:c>
      <x:c r="E49" s="20">
        <x:f t="shared" si="4"/>
        <x:v>500</x:v>
      </x:c>
      <x:c r="F49" s="9">
        <x:f t="shared" si="5"/>
        <x:v>4.6533227280093099</x:v>
      </x:c>
      <x:c r="G49" s="20">
        <x:f t="shared" si="6"/>
        <x:v>184.03609085497158</x:v>
      </x:c>
      <x:c r="H49" s="9">
        <x:f t="shared" si="7"/>
        <x:v>1.7127586486988513</x:v>
      </x:c>
      <x:c r="I49" s="9">
        <x:f t="shared" si="8"/>
        <x:v>215.80758973605523</x:v>
      </x:c>
      <x:c r="J49" s="20">
        <x:f t="shared" si="9"/>
        <x:v>0</x:v>
      </x:c>
      <x:c r="K49" s="20" t="n">
        <x:f>$B$5+SUM($E$31:E49)</x:f>
        <x:v>19500</x:v>
      </x:c>
      <x:c r="L49" s="20">
        <x:f t="shared" si="10"/>
        <x:v>23188.547447726418</x:v>
      </x:c>
    </x:row>
    <x:row r="50">
      <x:c r="A50">
        <x:f t="shared" si="0"/>
        <x:v>20</x:v>
      </x:c>
      <x:c r="B50" s="8">
        <x:f t="shared" si="1"/>
        <x:v>46874</x:v>
      </x:c>
      <x:c r="C50" s="20">
        <x:f t="shared" si="2"/>
        <x:v>107.87990202750355</x:v>
      </x:c>
      <x:c r="D50" s="9">
        <x:f t="shared" si="3"/>
        <x:v>215.80758973605523</x:v>
      </x:c>
      <x:c r="E50" s="20">
        <x:f t="shared" si="4"/>
        <x:v>500</x:v>
      </x:c>
      <x:c r="F50" s="9">
        <x:f t="shared" si="5"/>
        <x:v>4.6347835936347721</x:v>
      </x:c>
      <x:c r="G50" s="20">
        <x:f t="shared" si="6"/>
        <x:v>190.25041310013856</x:v>
      </x:c>
      <x:c r="H50" s="9">
        <x:f t="shared" si="7"/>
        <x:v>1.7635389866375202</x:v>
      </x:c>
      <x:c r="I50" s="9">
        <x:f t="shared" si="8"/>
        <x:v>222.20591231632753</x:v>
      </x:c>
      <x:c r="J50" s="20">
        <x:f t="shared" si="9"/>
        <x:v>0</x:v>
      </x:c>
      <x:c r="K50" s="20" t="n">
        <x:f>$B$5+SUM($E$31:E50)</x:f>
        <x:v>20000</x:v>
      </x:c>
      <x:c r="L50" s="20">
        <x:f t="shared" si="10"/>
        <x:v>23971.552050617458</x:v>
      </x:c>
    </x:row>
    <x:row r="51">
      <x:c r="A51">
        <x:f t="shared" si="0"/>
        <x:v>21</x:v>
      </x:c>
      <x:c r="B51" s="8">
        <x:f t="shared" si="1"/>
        <x:v>46905</x:v>
      </x:c>
      <x:c r="C51" s="20">
        <x:f t="shared" si="2"/>
        <x:v>108.31142163561358</x:v>
      </x:c>
      <x:c r="D51" s="9">
        <x:f t="shared" si="3"/>
        <x:v>222.20591231632753</x:v>
      </x:c>
      <x:c r="E51" s="20">
        <x:f t="shared" si="4"/>
        <x:v>500</x:v>
      </x:c>
      <x:c r="F51" s="9">
        <x:f t="shared" si="5"/>
        <x:v>4.6163183203533578</x:v>
      </x:c>
      <x:c r="G51" s="20">
        <x:f t="shared" si="6"/>
        <x:v>196.53950607055947</x:v>
      </x:c>
      <x:c r="H51" s="9">
        <x:f t="shared" si="7"/>
        <x:v>1.8145778450934471</x:v>
      </x:c>
      <x:c r="I51" s="9">
        <x:f t="shared" si="8"/>
        <x:v>228.63680848177435</x:v>
      </x:c>
      <x:c r="J51" s="20">
        <x:f t="shared" si="9"/>
        <x:v>0</x:v>
      </x:c>
      <x:c r="K51" s="20" t="n">
        <x:f>$B$5+SUM($E$31:E51)</x:f>
        <x:v>20500</x:v>
      </x:c>
      <x:c r="L51" s="20">
        <x:f t="shared" si="10"/>
        <x:v>24763.977764890493</x:v>
      </x:c>
    </x:row>
    <x:row r="52">
      <x:c r="A52">
        <x:f t="shared" si="0"/>
        <x:v>22</x:v>
      </x:c>
      <x:c r="B52" s="8">
        <x:f t="shared" si="1"/>
        <x:v>46935</x:v>
      </x:c>
      <x:c r="C52" s="20">
        <x:f t="shared" si="2"/>
        <x:v>108.74466732215602</x:v>
      </x:c>
      <x:c r="D52" s="9">
        <x:f t="shared" si="3"/>
        <x:v>228.63680848177435</x:v>
      </x:c>
      <x:c r="E52" s="20">
        <x:f t="shared" si="4"/>
        <x:v>500</x:v>
      </x:c>
      <x:c r="F52" s="9">
        <x:f t="shared" si="5"/>
        <x:v>4.5979266138977675</x:v>
      </x:c>
      <x:c r="G52" s="20">
        <x:f t="shared" si="6"/>
        <x:v>202.9042694076004</x:v>
      </x:c>
      <x:c r="H52" s="9">
        <x:f t="shared" si="7"/>
        <x:v>1.8658778807653769</x:v>
      </x:c>
      <x:c r="I52" s="9">
        <x:f t="shared" si="8"/>
        <x:v>235.10061297643747</x:v>
      </x:c>
      <x:c r="J52" s="20">
        <x:f t="shared" si="9"/>
        <x:v>0</x:v>
      </x:c>
      <x:c r="K52" s="20" t="n">
        <x:f>$B$5+SUM($E$31:E52)</x:f>
        <x:v>21000</x:v>
      </x:c>
      <x:c r="L52" s="20">
        <x:f t="shared" si="10"/>
        <x:v>25565.937945357651</x:v>
      </x:c>
    </x:row>
    <x:row r="53">
      <x:c r="A53">
        <x:f t="shared" si="0"/>
        <x:v>23</x:v>
      </x:c>
      <x:c r="B53" s="8">
        <x:f t="shared" si="1"/>
        <x:v>46966</x:v>
      </x:c>
      <x:c r="C53" s="20">
        <x:f t="shared" si="2"/>
        <x:v>109.17964599144466</x:v>
      </x:c>
      <x:c r="D53" s="9">
        <x:f t="shared" si="3"/>
        <x:v>235.10061297643747</x:v>
      </x:c>
      <x:c r="E53" s="20">
        <x:f t="shared" si="4"/>
        <x:v>500</x:v>
      </x:c>
      <x:c r="F53" s="9">
        <x:f t="shared" si="5"/>
        <x:v>4.5796081811730742</x:v>
      </x:c>
      <x:c r="G53" s="20">
        <x:f t="shared" si="6"/>
        <x:v>209.34561357711269</x:v>
      </x:c>
      <x:c r="H53" s="9">
        <x:f t="shared" si="7"/>
        <x:v>1.9174417692608845</x:v>
      </x:c>
      <x:c r="I53" s="9">
        <x:f t="shared" si="8"/>
        <x:v>241.59766292687144</x:v>
      </x:c>
      <x:c r="J53" s="20">
        <x:f t="shared" si="9"/>
        <x:v>0</x:v>
      </x:c>
      <x:c r="K53" s="20" t="n">
        <x:f>$B$5+SUM($E$31:E53)</x:f>
        <x:v>21500</x:v>
      </x:c>
      <x:c r="L53" s="20">
        <x:f t="shared" si="10"/>
        <x:v>26377.547310716196</x:v>
      </x:c>
    </x:row>
    <x:row r="54">
      <x:c r="A54">
        <x:f t="shared" si="0"/>
        <x:v>24</x:v>
      </x:c>
      <x:c r="B54" s="8">
        <x:f t="shared" si="1"/>
        <x:v>46997</x:v>
      </x:c>
      <x:c r="C54" s="20">
        <x:f t="shared" si="2"/>
        <x:v>109.61636457541042</x:v>
      </x:c>
      <x:c r="D54" s="9">
        <x:f t="shared" si="3"/>
        <x:v>241.59766292687144</x:v>
      </x:c>
      <x:c r="E54" s="20">
        <x:f t="shared" si="4"/>
        <x:v>500</x:v>
      </x:c>
      <x:c r="F54" s="9">
        <x:f t="shared" si="5"/>
        <x:v>4.5613627302520667</x:v>
      </x:c>
      <x:c r="G54" s="20">
        <x:f t="shared" si="6"/>
        <x:v>215.86445999967242</x:v>
      </x:c>
      <x:c r="H54" s="9">
        <x:f t="shared" si="7"/>
        <x:v>1.9692722052569878</x:v>
      </x:c>
      <x:c r="I54" s="9">
        <x:f t="shared" si="8"/>
        <x:v>248.12829786238049</x:v>
      </x:c>
      <x:c r="J54" s="20">
        <x:f t="shared" si="9"/>
        <x:v>0</x:v>
      </x:c>
      <x:c r="K54" s="20" t="n">
        <x:f>$B$5+SUM($E$31:E54)</x:f>
        <x:v>22000</x:v>
      </x:c>
      <x:c r="L54" s="20">
        <x:f t="shared" si="10"/>
        <x:v>27198.92195995873</x:v>
      </x:c>
    </x:row>
    <x:row r="55">
      <x:c r="A55">
        <x:f t="shared" si="0"/>
        <x:v>25</x:v>
      </x:c>
      <x:c r="B55" s="8">
        <x:f t="shared" si="1"/>
        <x:v>47027</x:v>
      </x:c>
      <x:c r="C55" s="20">
        <x:f t="shared" si="2"/>
        <x:v>110.05483003371208</x:v>
      </x:c>
      <x:c r="D55" s="9">
        <x:f t="shared" si="3"/>
        <x:v>248.12829786238049</x:v>
      </x:c>
      <x:c r="E55" s="20">
        <x:f t="shared" si="4"/>
        <x:v>500</x:v>
      </x:c>
      <x:c r="F55" s="9">
        <x:f t="shared" si="5"/>
        <x:v>4.5431899703705838</x:v>
      </x:c>
      <x:c r="G55" s="20">
        <x:f t="shared" si="6"/>
        <x:v>222.46174118238855</x:v>
      </x:c>
      <x:c r="H55" s="9">
        <x:f t="shared" si="7"/>
        <x:v>2.0213719026620085</x:v>
      </x:c>
      <x:c r="I55" s="9">
        <x:f t="shared" si="8"/>
        <x:v>254.69285973541307</x:v>
      </x:c>
      <x:c r="J55" s="20">
        <x:f t="shared" si="9"/>
        <x:v>0</x:v>
      </x:c>
      <x:c r="K55" s="20" t="n">
        <x:f>$B$5+SUM($E$31:E55)</x:f>
        <x:v>22500</x:v>
      </x:c>
      <x:c r="L55" s="20">
        <x:f t="shared" si="10"/>
        <x:v>28030.179388980956</x:v>
      </x:c>
    </x:row>
    <x:row r="56">
      <x:c r="A56">
        <x:f t="shared" si="0"/>
        <x:v>26</x:v>
      </x:c>
      <x:c r="B56" s="8">
        <x:f t="shared" si="1"/>
        <x:v>47058</x:v>
      </x:c>
      <x:c r="C56" s="20">
        <x:f t="shared" si="2"/>
        <x:v>110.49504935384692</x:v>
      </x:c>
      <x:c r="D56" s="9">
        <x:f t="shared" si="3"/>
        <x:v>254.69285973541307</x:v>
      </x:c>
      <x:c r="E56" s="20">
        <x:f t="shared" si="4"/>
        <x:v>500</x:v>
      </x:c>
      <x:c r="F56" s="9">
        <x:f t="shared" si="5"/>
        <x:v>4.5250896119228923</x:v>
      </x:c>
      <x:c r="G56" s="20">
        <x:f t="shared" si="6"/>
        <x:v>229.13840085229504</x:v>
      </x:c>
      <x:c r="H56" s="9">
        <x:f t="shared" si="7"/>
        <x:v>2.0737435947786875</x:v>
      </x:c>
      <x:c r="I56" s="9">
        <x:f t="shared" si="8"/>
        <x:v>261.29169294211465</x:v>
      </x:c>
      <x:c r="J56" s="20">
        <x:f t="shared" si="9"/>
        <x:v>0</x:v>
      </x:c>
      <x:c r="K56" s="20" t="n">
        <x:f>$B$5+SUM($E$31:E56)</x:f>
        <x:v>23000</x:v>
      </x:c>
      <x:c r="L56" s="20">
        <x:f t="shared" si="10"/>
        <x:v>28871.438507389175</x:v>
      </x:c>
    </x:row>
    <x:row r="57">
      <x:c r="A57">
        <x:f t="shared" si="0"/>
        <x:v>27</x:v>
      </x:c>
      <x:c r="B57" s="8">
        <x:f t="shared" si="1"/>
        <x:v>47088</x:v>
      </x:c>
      <x:c r="C57" s="20">
        <x:f t="shared" si="2"/>
        <x:v>110.93702955126233</x:v>
      </x:c>
      <x:c r="D57" s="9">
        <x:f t="shared" si="3"/>
        <x:v>261.29169294211465</x:v>
      </x:c>
      <x:c r="E57" s="20">
        <x:f t="shared" si="4"/>
        <x:v>500</x:v>
      </x:c>
      <x:c r="F57" s="9">
        <x:f t="shared" si="5"/>
        <x:v>4.5070613664570631</x:v>
      </x:c>
      <x:c r="G57" s="20">
        <x:f t="shared" si="6"/>
        <x:v>235.89539409134986</x:v>
      </x:c>
      <x:c r="H57" s="9">
        <x:f t="shared" si="7"/>
        <x:v>2.1263900344685736</x:v>
      </x:c>
      <x:c r="I57" s="9">
        <x:f t="shared" si="8"/>
        <x:v>267.92514434304024</x:v>
      </x:c>
      <x:c r="J57" s="20">
        <x:f t="shared" si="9"/>
        <x:v>0</x:v>
      </x:c>
      <x:c r="K57" s="20" t="n">
        <x:f>$B$5+SUM($E$31:E57)</x:f>
        <x:v>23500</x:v>
      </x:c>
      <x:c r="L57" s="20">
        <x:f t="shared" si="10"/>
        <x:v>29722.81965551008</x:v>
      </x:c>
    </x:row>
    <x:row r="58">
      <x:c r="A58">
        <x:f t="shared" si="0"/>
        <x:v>28</x:v>
      </x:c>
      <x:c r="B58" s="8">
        <x:f t="shared" si="1"/>
        <x:v>47119</x:v>
      </x:c>
      <x:c r="C58" s="20">
        <x:f t="shared" si="2"/>
        <x:v>111.38077766946736</x:v>
      </x:c>
      <x:c r="D58" s="9">
        <x:f t="shared" si="3"/>
        <x:v>267.92514434304024</x:v>
      </x:c>
      <x:c r="E58" s="20">
        <x:f t="shared" si="4"/>
        <x:v>500</x:v>
      </x:c>
      <x:c r="F58" s="9">
        <x:f t="shared" si="5"/>
        <x:v>4.4891049466703823</x:v>
      </x:c>
      <x:c r="G58" s="20">
        <x:f t="shared" si="6"/>
        <x:v>242.73368747305696</x:v>
      </x:c>
      <x:c r="H58" s="9">
        <x:f t="shared" si="7"/>
        <x:v>2.1793139943176851</x:v>
      </x:c>
      <x:c r="I58" s="9">
        <x:f t="shared" si="8"/>
        <x:v>274.59356328402833</x:v>
      </x:c>
      <x:c r="J58" s="20">
        <x:f t="shared" si="9"/>
        <x:v>0</x:v>
      </x:c>
      <x:c r="K58" s="20" t="n">
        <x:f>$B$5+SUM($E$31:E58)</x:f>
        <x:v>24000</x:v>
      </x:c>
      <x:c r="L58" s="20">
        <x:f t="shared" si="10"/>
        <x:v>30584.444621605177</x:v>
      </x:c>
    </x:row>
    <x:row r="59">
      <x:c r="A59">
        <x:f t="shared" si="0"/>
        <x:v>29</x:v>
      </x:c>
      <x:c r="B59" s="8">
        <x:f t="shared" si="1"/>
        <x:v>47150</x:v>
      </x:c>
      <x:c r="C59" s="20">
        <x:f t="shared" si="2"/>
        <x:v>111.82630078014526</x:v>
      </x:c>
      <x:c r="D59" s="9">
        <x:f t="shared" si="3"/>
        <x:v>274.59356328402833</x:v>
      </x:c>
      <x:c r="E59" s="20">
        <x:f t="shared" si="4"/>
        <x:v>500</x:v>
      </x:c>
      <x:c r="F59" s="9">
        <x:f t="shared" si="5"/>
        <x:v>4.4712200664047623</x:v>
      </x:c>
      <x:c r="G59" s="20">
        <x:f t="shared" si="6"/>
        <x:v>249.65425920073287</x:v>
      </x:c>
      <x:c r="H59" s="9">
        <x:f t="shared" si="7"/>
        <x:v>2.2325182668034649</x:v>
      </x:c>
      <x:c r="I59" s="9">
        <x:f t="shared" si="8"/>
        <x:v>281.2973016172366</x:v>
      </x:c>
      <x:c r="J59" s="20">
        <x:f t="shared" si="9"/>
        <x:v>0</x:v>
      </x:c>
      <x:c r="K59" s="20" t="n">
        <x:f>$B$5+SUM($E$31:E59)</x:f>
        <x:v>24500</x:v>
      </x:c>
      <x:c r="L59" s="20">
        <x:f t="shared" si="10"/>
        <x:v>31456.436659292343</x:v>
      </x:c>
    </x:row>
    <x:row r="60">
      <x:c r="A60">
        <x:f t="shared" si="0"/>
        <x:v>30</x:v>
      </x:c>
      <x:c r="B60" s="8">
        <x:f t="shared" si="1"/>
        <x:v>47178</x:v>
      </x:c>
      <x:c r="C60" s="20">
        <x:f t="shared" si="2"/>
        <x:v>112.27360598326584</x:v>
      </x:c>
      <x:c r="D60" s="9">
        <x:f t="shared" si="3"/>
        <x:v>281.2973016172366</x:v>
      </x:c>
      <x:c r="E60" s="20">
        <x:f t="shared" si="4"/>
        <x:v>500</x:v>
      </x:c>
      <x:c r="F60" s="9">
        <x:f t="shared" si="5"/>
        <x:v>4.4534064406421932</x:v>
      </x:c>
      <x:c r="G60" s="20">
        <x:f t="shared" si="6"/>
        <x:v>256.6580992474361</x:v>
      </x:c>
      <x:c r="H60" s="9">
        <x:f t="shared" si="7"/>
        <x:v>2.2860056644630307</x:v>
      </x:c>
      <x:c r="I60" s="9">
        <x:f t="shared" si="8"/>
        <x:v>288.0367137223418</x:v>
      </x:c>
      <x:c r="J60" s="20">
        <x:f t="shared" si="9"/>
        <x:v>0</x:v>
      </x:c>
      <x:c r="K60" s="20" t="n">
        <x:f>$B$5+SUM($E$31:E60)</x:f>
        <x:v>25000</x:v>
      </x:c>
      <x:c r="L60" s="20">
        <x:f t="shared" si="10"/>
        <x:v>32338.920505176942</x:v>
      </x:c>
    </x:row>
    <x:row r="61">
      <x:c r="A61">
        <x:f t="shared" si="0"/>
        <x:v>31</x:v>
      </x:c>
      <x:c r="B61" s="8">
        <x:f t="shared" si="1"/>
        <x:v>47209</x:v>
      </x:c>
      <x:c r="C61" s="20">
        <x:f t="shared" si="2"/>
        <x:v>112.7227004071989</x:v>
      </x:c>
      <x:c r="D61" s="9">
        <x:f t="shared" si="3"/>
        <x:v>288.0367137223418</x:v>
      </x:c>
      <x:c r="E61" s="20">
        <x:f t="shared" si="4"/>
        <x:v>500</x:v>
      </x:c>
      <x:c r="F61" s="9">
        <x:f t="shared" si="5"/>
        <x:v>4.4356637855001928</x:v>
      </x:c>
      <x:c r="G61" s="20">
        <x:f t="shared" si="6"/>
        <x:v>263.74620949758122</x:v>
      </x:c>
      <x:c r="H61" s="9">
        <x:f t="shared" si="7"/>
        <x:v>2.339779020062736</x:v>
      </x:c>
      <x:c r="I61" s="9">
        <x:f t="shared" si="8"/>
        <x:v>294.81215652790473</x:v>
      </x:c>
      <x:c r="J61" s="20">
        <x:f t="shared" si="9"/>
        <x:v>0</x:v>
      </x:c>
      <x:c r="K61" s="20" t="n">
        <x:f>$B$5+SUM($E$31:E61)</x:f>
        <x:v>25500</x:v>
      </x:c>
      <x:c r="L61" s="20">
        <x:f t="shared" si="10"/>
        <x:v>33232.022396695233</x:v>
      </x:c>
    </x:row>
    <x:row r="62">
      <x:c r="A62">
        <x:f t="shared" si="0"/>
        <x:v>32</x:v>
      </x:c>
      <x:c r="B62" s="8">
        <x:f t="shared" si="1"/>
        <x:v>47239</x:v>
      </x:c>
      <x:c r="C62" s="20">
        <x:f t="shared" si="2"/>
        <x:v>113.17359120882769</x:v>
      </x:c>
      <x:c r="D62" s="9">
        <x:f t="shared" si="3"/>
        <x:v>294.81215652790473</x:v>
      </x:c>
      <x:c r="E62" s="20">
        <x:f t="shared" si="4"/>
        <x:v>500</x:v>
      </x:c>
      <x:c r="F62" s="9">
        <x:f t="shared" si="5"/>
        <x:v>4.4179918182272839</x:v>
      </x:c>
      <x:c r="G62" s="20">
        <x:f t="shared" si="6"/>
        <x:v>270.9196038902561</x:v>
      </x:c>
      <x:c r="H62" s="9">
        <x:f t="shared" si="7"/>
        <x:v>2.3938411867690563</x:v>
      </x:c>
      <x:c r="I62" s="9">
        <x:f t="shared" si="8"/>
        <x:v>301.62398953290108</x:v>
      </x:c>
      <x:c r="J62" s="20">
        <x:f t="shared" si="9"/>
        <x:v>0</x:v>
      </x:c>
      <x:c r="K62" s="20" t="n">
        <x:f>$B$5+SUM($E$31:E62)</x:f>
        <x:v>26000</x:v>
      </x:c>
      <x:c r="L62" s="20">
        <x:f t="shared" si="10"/>
        <x:v>34135.87009017227</x:v>
      </x:c>
    </x:row>
    <x:row r="63">
      <x:c r="A63">
        <x:f t="shared" si="0"/>
        <x:v>33</x:v>
      </x:c>
      <x:c r="B63" s="8">
        <x:f t="shared" si="1"/>
        <x:v>47270</x:v>
      </x:c>
      <x:c r="C63" s="20">
        <x:f t="shared" si="2"/>
        <x:v>113.62628557366301</x:v>
      </x:c>
      <x:c r="D63" s="9">
        <x:f t="shared" si="3"/>
        <x:v>301.62398953290108</x:v>
      </x:c>
      <x:c r="E63" s="20">
        <x:f t="shared" si="4"/>
        <x:v>500</x:v>
      </x:c>
      <x:c r="F63" s="9">
        <x:f t="shared" si="5"/>
        <x:v>4.4003902571984899</x:v>
      </x:c>
      <x:c r="G63" s="20">
        <x:f t="shared" si="6"/>
        <x:v>278.17930856426369</x:v>
      </x:c>
      <x:c r="H63" s="9">
        <x:f t="shared" si="7"/>
        <x:v>2.4481950383207964</x:v>
      </x:c>
      <x:c r="I63" s="9">
        <x:f t="shared" si="8"/>
        <x:v>308.47257482842036</x:v>
      </x:c>
      <x:c r="J63" s="20">
        <x:f t="shared" si="9"/>
        <x:v>0</x:v>
      </x:c>
      <x:c r="K63" s="20" t="n">
        <x:f>$B$5+SUM($E$31:E63)</x:f>
        <x:v>26500</x:v>
      </x:c>
      <x:c r="L63" s="20">
        <x:f t="shared" si="10"/>
        <x:v>35050.592879097225</x:v>
      </x:c>
    </x:row>
    <x:row r="64">
      <x:c r="A64">
        <x:f t="shared" si="0"/>
        <x:v>34</x:v>
      </x:c>
      <x:c r="B64" s="8">
        <x:f t="shared" si="1"/>
        <x:v>47300</x:v>
      </x:c>
      <x:c r="C64" s="20">
        <x:f t="shared" si="2"/>
        <x:v>114.08079071595768</x:v>
      </x:c>
      <x:c r="D64" s="9">
        <x:f t="shared" si="3"/>
        <x:v>308.47257482842036</x:v>
      </x:c>
      <x:c r="E64" s="20">
        <x:f t="shared" si="4"/>
        <x:v>500</x:v>
      </x:c>
      <x:c r="F64" s="9">
        <x:f t="shared" si="5"/>
        <x:v>4.3828588219108457</x:v>
      </x:c>
      <x:c r="G64" s="20">
        <x:f t="shared" si="6"/>
        <x:v>285.52636200490895</x:v>
      </x:c>
      <x:c r="H64" s="9">
        <x:f t="shared" si="7"/>
        <x:v>2.5028434692026496</x:v>
      </x:c>
      <x:c r="I64" s="9">
        <x:f t="shared" si="8"/>
        <x:v>315.35827711953391</x:v>
      </x:c>
      <x:c r="J64" s="20">
        <x:f t="shared" si="9"/>
        <x:v>0</x:v>
      </x:c>
      <x:c r="K64" s="20" t="n">
        <x:f>$B$5+SUM($E$31:E64)</x:f>
        <x:v>27000</x:v>
      </x:c>
      <x:c r="L64" s="20">
        <x:f t="shared" si="10"/>
        <x:v>35976.321612618529</x:v>
      </x:c>
    </x:row>
    <x:row r="65">
      <x:c r="A65">
        <x:f t="shared" si="0"/>
        <x:v>35</x:v>
      </x:c>
      <x:c r="B65" s="8">
        <x:f t="shared" si="1"/>
        <x:v>47331</x:v>
      </x:c>
      <x:c r="C65" s="20">
        <x:f t="shared" si="2"/>
        <x:v>114.5371138788215</x:v>
      </x:c>
      <x:c r="D65" s="9">
        <x:f t="shared" si="3"/>
        <x:v>315.35827711953391</x:v>
      </x:c>
      <x:c r="E65" s="20">
        <x:f t="shared" si="4"/>
        <x:v>500</x:v>
      </x:c>
      <x:c r="F65" s="9">
        <x:f t="shared" si="5"/>
        <x:v>4.3653972329789301</x:v>
      </x:c>
      <x:c r="G65" s="20">
        <x:f t="shared" si="6"/>
        <x:v>292.96181519255208</x:v>
      </x:c>
      <x:c r="H65" s="9">
        <x:f t="shared" si="7"/>
        <x:v>2.5577893948201029</x:v>
      </x:c>
      <x:c r="I65" s="9">
        <x:f t="shared" si="8"/>
        <x:v>322.28146374733291</x:v>
      </x:c>
      <x:c r="J65" s="20">
        <x:f t="shared" si="9"/>
        <x:v>0</x:v>
      </x:c>
      <x:c r="K65" s="20" t="n">
        <x:f>$B$5+SUM($E$31:E65)</x:f>
        <x:v>27500</x:v>
      </x:c>
      <x:c r="L65" s="20">
        <x:f t="shared" si="10"/>
        <x:v>36913.188714261552</x:v>
      </x:c>
    </x:row>
    <x:row r="66">
      <x:c r="A66">
        <x:f t="shared" si="0"/>
        <x:v>36</x:v>
      </x:c>
      <x:c r="B66" s="8">
        <x:f t="shared" si="1"/>
        <x:v>47362</x:v>
      </x:c>
      <x:c r="C66" s="20">
        <x:f t="shared" si="2"/>
        <x:v>114.99526233433679</x:v>
      </x:c>
      <x:c r="D66" s="9">
        <x:f t="shared" si="3"/>
        <x:v>322.28146374733291</x:v>
      </x:c>
      <x:c r="E66" s="20">
        <x:f t="shared" si="4"/>
        <x:v>500</x:v>
      </x:c>
      <x:c r="F66" s="9">
        <x:f t="shared" si="5"/>
        <x:v>4.3480052121304089</x:v>
      </x:c>
      <x:c r="G66" s="20">
        <x:f t="shared" si="6"/>
        <x:v>300.48673175294886</x:v>
      </x:c>
      <x:c r="H66" s="9">
        <x:f t="shared" si="7"/>
        <x:v>2.613035751675707</x:v>
      </x:c>
      <x:c r="I66" s="9">
        <x:f t="shared" si="8"/>
        <x:v>329.24250471113902</x:v>
      </x:c>
      <x:c r="J66" s="20">
        <x:f t="shared" si="9"/>
        <x:v>0</x:v>
      </x:c>
      <x:c r="K66" s="20" t="n">
        <x:f>$B$5+SUM($E$31:E66)</x:f>
        <x:v>28000</x:v>
      </x:c>
      <x:c r="L66" s="20">
        <x:f t="shared" si="10"/>
        <x:v>37861.328200871547</x:v>
      </x:c>
    </x:row>
    <x:row r="67">
      <x:c r="A67">
        <x:f t="shared" si="0"/>
        <x:v>37</x:v>
      </x:c>
      <x:c r="B67" s="8">
        <x:f t="shared" si="1"/>
        <x:v>47392</x:v>
      </x:c>
      <x:c r="C67" s="20">
        <x:f t="shared" si="2"/>
        <x:v>115.45524338367414</x:v>
      </x:c>
      <x:c r="D67" s="9">
        <x:f t="shared" si="3"/>
        <x:v>329.24250471113902</x:v>
      </x:c>
      <x:c r="E67" s="20">
        <x:f t="shared" si="4"/>
        <x:v>500</x:v>
      </x:c>
      <x:c r="F67" s="9">
        <x:f t="shared" si="5"/>
        <x:v>4.3306824822016017</x:v>
      </x:c>
      <x:c r="G67" s="20">
        <x:f t="shared" si="6"/>
        <x:v>308.10218810940029</x:v>
      </x:c>
      <x:c r="H67" s="9">
        <x:f t="shared" si="7"/>
        <x:v>2.6685854975467249</x:v>
      </x:c>
      <x:c r="I67" s="9">
        <x:f t="shared" si="8"/>
        <x:v>336.24177269088733</x:v>
      </x:c>
      <x:c r="J67" s="20">
        <x:f t="shared" si="9"/>
        <x:v>0</x:v>
      </x:c>
      <x:c r="K67" s="20" t="n">
        <x:f>$B$5+SUM($E$31:E67)</x:f>
        <x:v>28500</x:v>
      </x:c>
      <x:c r="L67" s="20">
        <x:f t="shared" si="10"/>
        <x:v>38820.875701784433</x:v>
      </x:c>
    </x:row>
    <x:row r="68">
      <x:c r="A68">
        <x:f t="shared" si="0"/>
        <x:v>38</x:v>
      </x:c>
      <x:c r="B68" s="8">
        <x:f t="shared" si="1"/>
        <x:v>47423</x:v>
      </x:c>
      <x:c r="C68" s="20">
        <x:f t="shared" si="2"/>
        <x:v>115.91706435720883</x:v>
      </x:c>
      <x:c r="D68" s="9">
        <x:f t="shared" si="3"/>
        <x:v>336.24177269088733</x:v>
      </x:c>
      <x:c r="E68" s="20">
        <x:f t="shared" si="4"/>
        <x:v>500</x:v>
      </x:c>
      <x:c r="F68" s="9">
        <x:f t="shared" si="5"/>
        <x:v>4.31342876713307</x:v>
      </x:c>
      <x:c r="G68" s="20">
        <x:f t="shared" si="6"/>
        <x:v>315.80927363673254</x:v>
      </x:c>
      <x:c r="H68" s="9">
        <x:f t="shared" si="7"/>
        <x:v>2.724441611664163</x:v>
      </x:c>
      <x:c r="I68" s="9">
        <x:f t="shared" si="8"/>
        <x:v>343.2796430696846</x:v>
      </x:c>
      <x:c r="J68" s="20">
        <x:f t="shared" si="9"/>
        <x:v>0</x:v>
      </x:c>
      <x:c r="K68" s="20" t="n">
        <x:f>$B$5+SUM($E$31:E68)</x:f>
        <x:v>29000</x:v>
      </x:c>
      <x:c r="L68" s="20">
        <x:f t="shared" si="10"/>
        <x:v>39791.968478228308</x:v>
      </x:c>
    </x:row>
    <x:row r="69">
      <x:c r="A69">
        <x:f t="shared" si="0"/>
        <x:v>39</x:v>
      </x:c>
      <x:c r="B69" s="8">
        <x:f t="shared" si="1"/>
        <x:v>47453</x:v>
      </x:c>
      <x:c r="C69" s="20">
        <x:f t="shared" si="2"/>
        <x:v>116.38073261463767</x:v>
      </x:c>
      <x:c r="D69" s="9">
        <x:f t="shared" si="3"/>
        <x:v>343.2796430696846</x:v>
      </x:c>
      <x:c r="E69" s="20">
        <x:f t="shared" si="4"/>
        <x:v>500</x:v>
      </x:c>
      <x:c r="F69" s="9">
        <x:f t="shared" si="5"/>
        <x:v>4.2962437919652094</x:v>
      </x:c>
      <x:c r="G69" s="20">
        <x:f t="shared" si="6"/>
        <x:v>323.60909081712975</x:v>
      </x:c>
      <x:c r="H69" s="9">
        <x:f t="shared" si="7"/>
        <x:v>2.7806070948931985</x:v>
      </x:c>
      <x:c r="I69" s="9">
        <x:f t="shared" si="8"/>
        <x:v>350.35649395654298</x:v>
      </x:c>
      <x:c r="J69" s="20">
        <x:f t="shared" si="9"/>
        <x:v>0</x:v>
      </x:c>
      <x:c r="K69" s="20" t="n">
        <x:f>$B$5+SUM($E$31:E69)</x:f>
        <x:v>29500</x:v>
      </x:c>
      <x:c r="L69" s="20">
        <x:f t="shared" si="10"/>
        <x:v>40774.745442958345</x:v>
      </x:c>
    </x:row>
    <x:row r="70">
      <x:c r="A70">
        <x:f t="shared" si="0"/>
        <x:v>40</x:v>
      </x:c>
      <x:c r="B70" s="8">
        <x:f t="shared" si="1"/>
        <x:v>47484</x:v>
      </x:c>
      <x:c r="C70" s="20">
        <x:f t="shared" si="2"/>
        <x:v>116.8462555450962</x:v>
      </x:c>
      <x:c r="D70" s="9">
        <x:f t="shared" si="3"/>
        <x:v>350.35649395654298</x:v>
      </x:c>
      <x:c r="E70" s="20">
        <x:f t="shared" si="4"/>
        <x:v>500</x:v>
      </x:c>
      <x:c r="F70" s="9">
        <x:f t="shared" si="5"/>
        <x:v>4.2791272828338744</x:v>
      </x:c>
      <x:c r="G70" s="20">
        <x:f t="shared" si="6"/>
        <x:v>331.50275539784138</x:v>
      </x:c>
      <x:c r="H70" s="9">
        <x:f t="shared" si="7"/>
        <x:v>2.8370849699150149</x:v>
      </x:c>
      <x:c r="I70" s="9">
        <x:f t="shared" si="8"/>
        <x:v>357.47270620929186</x:v>
      </x:c>
      <x:c r="J70" s="20">
        <x:f t="shared" si="9"/>
        <x:v>0</x:v>
      </x:c>
      <x:c r="K70" s="20" t="n">
        <x:f>$B$5+SUM($E$31:E70)</x:f>
        <x:v>30000</x:v>
      </x:c>
      <x:c r="L70" s="20">
        <x:f t="shared" si="10"/>
        <x:v>41769.34718012801</x:v>
      </x:c>
    </x:row>
    <x:row r="71">
      <x:c r="A71">
        <x:f t="shared" si="0"/>
        <x:v>41</x:v>
      </x:c>
      <x:c r="B71" s="8">
        <x:f t="shared" si="1"/>
        <x:v>47515</x:v>
      </x:c>
      <x:c r="C71" s="20">
        <x:f t="shared" si="2"/>
        <x:v>117.31364056727662</x:v>
      </x:c>
      <x:c r="D71" s="9">
        <x:f t="shared" si="3"/>
        <x:v>357.47270620929186</x:v>
      </x:c>
      <x:c r="E71" s="20">
        <x:f t="shared" si="4"/>
        <x:v>500</x:v>
      </x:c>
      <x:c r="F71" s="9">
        <x:f t="shared" si="5"/>
        <x:v>4.2620789669660084</x:v>
      </x:c>
      <x:c r="G71" s="20">
        <x:f t="shared" si="6"/>
        <x:v>339.49139655078829</x:v>
      </x:c>
      <x:c r="H71" s="9">
        <x:f t="shared" si="7"/>
        <x:v>2.8938782814100628</x:v>
      </x:c>
      <x:c r="I71" s="9">
        <x:f t="shared" si="8"/>
        <x:v>364.62866345766793</x:v>
      </x:c>
      <x:c r="J71" s="20">
        <x:f t="shared" si="9"/>
        <x:v>0</x:v>
      </x:c>
      <x:c r="K71" s="20" t="n">
        <x:f>$B$5+SUM($E$31:E71)</x:f>
        <x:v>30500</x:v>
      </x:c>
      <x:c r="L71" s="20">
        <x:f t="shared" si="10"/>
        <x:v>42775.915965399327</x:v>
      </x:c>
    </x:row>
    <x:row r="72">
      <x:c r="A72">
        <x:f t="shared" si="0"/>
        <x:v>42</x:v>
      </x:c>
      <x:c r="B72" s="8">
        <x:f t="shared" si="1"/>
        <x:v>47543</x:v>
      </x:c>
      <x:c r="C72" s="20">
        <x:f t="shared" si="2"/>
        <x:v>117.78289512954572</x:v>
      </x:c>
      <x:c r="D72" s="9">
        <x:f t="shared" si="3"/>
        <x:v>364.62866345766793</x:v>
      </x:c>
      <x:c r="E72" s="20">
        <x:f t="shared" si="4"/>
        <x:v>500</x:v>
      </x:c>
      <x:c r="F72" s="9">
        <x:f t="shared" si="5"/>
        <x:v>4.2450985726753077</x:v>
      </x:c>
      <x:c r="G72" s="20">
        <x:f t="shared" si="6"/>
        <x:v>347.57615703408743</x:v>
      </x:c>
      <x:c r="H72" s="9">
        <x:f t="shared" si="7"/>
        <x:v>2.9509900962427462</x:v>
      </x:c>
      <x:c r="I72" s="9">
        <x:f t="shared" si="8"/>
        <x:v>371.82475212658596</x:v>
      </x:c>
      <x:c r="J72" s="20">
        <x:f t="shared" si="9"/>
        <x:v>0</x:v>
      </x:c>
      <x:c r="K72" s="20" t="n">
        <x:f>$B$5+SUM($E$31:E72)</x:f>
        <x:v>31000</x:v>
      </x:c>
      <x:c r="L72" s="20">
        <x:f t="shared" si="10"/>
        <x:v>43794.595786295009</x:v>
      </x:c>
    </x:row>
    <x:row r="73">
      <x:c r="A73">
        <x:f t="shared" si="0"/>
        <x:v>43</x:v>
      </x:c>
      <x:c r="B73" s="8">
        <x:f t="shared" si="1"/>
        <x:v>47574</x:v>
      </x:c>
      <x:c r="C73" s="20">
        <x:f t="shared" si="2"/>
        <x:v>118.25402671006391</x:v>
      </x:c>
      <x:c r="D73" s="9">
        <x:f t="shared" si="3"/>
        <x:v>371.82475212658596</x:v>
      </x:c>
      <x:c r="E73" s="20">
        <x:f t="shared" si="4"/>
        <x:v>500</x:v>
      </x:c>
      <x:c r="F73" s="9">
        <x:f t="shared" si="5"/>
        <x:v>4.2281858293578756</x:v>
      </x:c>
      <x:c r="G73" s="20">
        <x:f t="shared" si="6"/>
        <x:v>355.75819335552154</x:v>
      </x:c>
      <x:c r="H73" s="9">
        <x:f t="shared" si="7"/>
        <x:v>3.0084235036475508</x:v>
      </x:c>
      <x:c r="I73" s="9">
        <x:f t="shared" si="8"/>
        <x:v>379.06136145959141</x:v>
      </x:c>
      <x:c r="J73" s="20">
        <x:f t="shared" si="9"/>
        <x:v>0</x:v>
      </x:c>
      <x:c r="K73" s="20" t="n">
        <x:f>$B$5+SUM($E$31:E73)</x:f>
        <x:v>31500</x:v>
      </x:c>
      <x:c r="L73" s="20">
        <x:f t="shared" si="10"/>
        <x:v>44825.532362795711</x:v>
      </x:c>
    </x:row>
    <x:row r="74">
      <x:c r="A74">
        <x:f t="shared" si="0"/>
        <x:v>44</x:v>
      </x:c>
      <x:c r="B74" s="8">
        <x:f t="shared" si="1"/>
        <x:v>47604</x:v>
      </x:c>
      <x:c r="C74" s="20">
        <x:f t="shared" si="2"/>
        <x:v>118.72704281690416</x:v>
      </x:c>
      <x:c r="D74" s="9">
        <x:f t="shared" si="3"/>
        <x:v>379.06136145959141</x:v>
      </x:c>
      <x:c r="E74" s="20">
        <x:f t="shared" si="4"/>
        <x:v>500</x:v>
      </x:c>
      <x:c r="F74" s="9">
        <x:f t="shared" si="5"/>
        <x:v>4.2113404674879247</x:v>
      </x:c>
      <x:c r="G74" s="20">
        <x:f t="shared" si="6"/>
        <x:v>364.03867593797514</x:v>
      </x:c>
      <x:c r="H74" s="9">
        <x:f t="shared" si="7"/>
        <x:v>3.0661816154166348</x:v>
      </x:c>
      <x:c r="I74" s="9">
        <x:f t="shared" si="8"/>
        <x:v>386.33888354249592</x:v>
      </x:c>
      <x:c r="J74" s="20">
        <x:f t="shared" si="9"/>
        <x:v>0</x:v>
      </x:c>
      <x:c r="K74" s="20" t="n">
        <x:f>$B$5+SUM($E$31:E74)</x:f>
        <x:v>32000</x:v>
      </x:c>
      <x:c r="L74" s="20">
        <x:f t="shared" si="10"/>
        <x:v>45868.873168184866</x:v>
      </x:c>
    </x:row>
    <x:row r="75">
      <x:c r="A75">
        <x:f t="shared" si="0"/>
        <x:v>45</x:v>
      </x:c>
      <x:c r="B75" s="8">
        <x:f t="shared" si="1"/>
        <x:v>47635</x:v>
      </x:c>
      <x:c r="C75" s="20">
        <x:f t="shared" si="2"/>
        <x:v>119.20195098817179</x:v>
      </x:c>
      <x:c r="D75" s="9">
        <x:f t="shared" si="3"/>
        <x:v>386.33888354249592</x:v>
      </x:c>
      <x:c r="E75" s="20">
        <x:f t="shared" si="4"/>
        <x:v>500</x:v>
      </x:c>
      <x:c r="F75" s="9">
        <x:f t="shared" si="5"/>
        <x:v>4.1945622186134699</x:v>
      </x:c>
      <x:c r="G75" s="20">
        <x:f t="shared" si="6"/>
        <x:v>372.41878928686089</x:v>
      </x:c>
      <x:c r="H75" s="9">
        <x:f t="shared" si="7"/>
        <x:v>3.1242675660888755</x:v>
      </x:c>
      <x:c r="I75" s="9">
        <x:f t="shared" si="8"/>
        <x:v>393.65771332719828</x:v>
      </x:c>
      <x:c r="J75" s="20">
        <x:f t="shared" si="9"/>
        <x:v>0</x:v>
      </x:c>
      <x:c r="K75" s="20" t="n">
        <x:f>$B$5+SUM($E$31:E75)</x:f>
        <x:v>32500</x:v>
      </x:c>
      <x:c r="L75" s="20">
        <x:f t="shared" si="10"/>
        <x:v>46924.767450144471</x:v>
      </x:c>
    </x:row>
    <x:row r="76">
      <x:c r="A76">
        <x:f t="shared" si="0"/>
        <x:v>46</x:v>
      </x:c>
      <x:c r="B76" s="8">
        <x:f t="shared" si="1"/>
        <x:v>47665</x:v>
      </x:c>
      <x:c r="C76" s="20">
        <x:f t="shared" si="2"/>
        <x:v>119.67875879212446</x:v>
      </x:c>
      <x:c r="D76" s="9">
        <x:f t="shared" si="3"/>
        <x:v>393.65771332719828</x:v>
      </x:c>
      <x:c r="E76" s="20">
        <x:f t="shared" si="4"/>
        <x:v>500</x:v>
      </x:c>
      <x:c r="F76" s="9">
        <x:f t="shared" si="5"/>
        <x:v>4.1778508153520626</x:v>
      </x:c>
      <x:c r="G76" s="20">
        <x:f t="shared" si="6"/>
        <x:v>380.8997321595603</x:v>
      </x:c>
      <x:c r="H76" s="9">
        <x:f t="shared" si="7"/>
        <x:v>3.1826845131404027</x:v>
      </x:c>
      <x:c r="I76" s="9">
        <x:f t="shared" si="8"/>
        <x:v>401.0182486556908</x:v>
      </x:c>
      <x:c r="J76" s="20">
        <x:f t="shared" si="9"/>
        <x:v>0</x:v>
      </x:c>
      <x:c r="K76" s="20" t="n">
        <x:f>$B$5+SUM($E$31:E76)</x:f>
        <x:v>33000</x:v>
      </x:c>
      <x:c r="L76" s="20">
        <x:f t="shared" si="10"/>
        <x:v>47993.366252104606</x:v>
      </x:c>
    </x:row>
    <x:row r="77">
      <x:c r="A77">
        <x:f t="shared" si="0"/>
        <x:v>47</x:v>
      </x:c>
      <x:c r="B77" s="8">
        <x:f t="shared" si="1"/>
        <x:v>47696</x:v>
      </x:c>
      <x:c r="C77" s="20">
        <x:f t="shared" si="2"/>
        <x:v>120.15747382729299</x:v>
      </x:c>
      <x:c r="D77" s="9">
        <x:f t="shared" si="3"/>
        <x:v>401.0182486556908</x:v>
      </x:c>
      <x:c r="E77" s="20">
        <x:f t="shared" si="4"/>
        <x:v>500</x:v>
      </x:c>
      <x:c r="F77" s="9">
        <x:f t="shared" si="5"/>
        <x:v>4.1612059913865158</x:v>
      </x:c>
      <x:c r="G77" s="20">
        <x:f t="shared" si="6"/>
        <x:v>389.48271773690436</x:v>
      </x:c>
      <x:c r="H77" s="9">
        <x:f t="shared" si="7"/>
        <x:v>3.2414356371766191</x:v>
      </x:c>
      <x:c r="I77" s="9">
        <x:f t="shared" si="8"/>
        <x:v>408.42089028425391</x:v>
      </x:c>
      <x:c r="J77" s="20">
        <x:f t="shared" si="9"/>
        <x:v>0</x:v>
      </x:c>
      <x:c r="K77" s="20" t="n">
        <x:f>$B$5+SUM($E$31:E77)</x:f>
        <x:v>33500</x:v>
      </x:c>
      <x:c r="L77" s="20">
        <x:f t="shared" si="10"/>
        <x:v>49074.822434849943</x:v>
      </x:c>
    </x:row>
    <x:row r="78">
      <x:c r="A78">
        <x:f t="shared" si="0"/>
        <x:v>48</x:v>
      </x:c>
      <x:c r="B78" s="8">
        <x:f t="shared" si="1"/>
        <x:v>47727</x:v>
      </x:c>
      <x:c r="C78" s="20">
        <x:f t="shared" si="2"/>
        <x:v>120.63810372260215</x:v>
      </x:c>
      <x:c r="D78" s="9">
        <x:f t="shared" si="3"/>
        <x:v>408.42089028425391</x:v>
      </x:c>
      <x:c r="E78" s="20">
        <x:f t="shared" si="4"/>
        <x:v>500</x:v>
      </x:c>
      <x:c r="F78" s="9">
        <x:f t="shared" si="5"/>
        <x:v>4.1446274814606729</x:v>
      </x:c>
      <x:c r="G78" s="20">
        <x:f t="shared" si="6"/>
        <x:v>398.16897379671468</x:v>
      </x:c>
      <x:c r="H78" s="9">
        <x:f t="shared" si="7"/>
        <x:v>3.3005241421257163</x:v>
      </x:c>
      <x:c r="I78" s="9">
        <x:f t="shared" si="8"/>
        <x:v>415.86604190784027</x:v>
      </x:c>
      <x:c r="J78" s="20">
        <x:f t="shared" si="9"/>
        <x:v>0</x:v>
      </x:c>
      <x:c r="K78" s="20" t="n">
        <x:f>$B$5+SUM($E$31:E78)</x:f>
        <x:v>34000</x:v>
      </x:c>
      <x:c r="L78" s="20">
        <x:f t="shared" si="10"/>
        <x:v>50169.290698386045</x:v>
      </x:c>
    </x:row>
    <x:row r="79">
      <x:c r="A79">
        <x:f t="shared" si="0"/>
        <x:v>49</x:v>
      </x:c>
      <x:c r="B79" s="8">
        <x:f t="shared" si="1"/>
        <x:v>47757</x:v>
      </x:c>
      <x:c r="C79" s="20">
        <x:f t="shared" si="2"/>
        <x:v>121.12065613749256</x:v>
      </x:c>
      <x:c r="D79" s="9">
        <x:f t="shared" si="3"/>
        <x:v>415.86604190784027</x:v>
      </x:c>
      <x:c r="E79" s="20">
        <x:f t="shared" si="4"/>
        <x:v>500</x:v>
      </x:c>
      <x:c r="F79" s="9">
        <x:f t="shared" si="5"/>
        <x:v>4.1281150213751721</x:v>
      </x:c>
      <x:c r="G79" s="20">
        <x:f t="shared" si="6"/>
        <x:v>406.95974288943671</x:v>
      </x:c>
      <x:c r="H79" s="9">
        <x:f t="shared" si="7"/>
        <x:v>3.3599532554337235</x:v>
      </x:c>
      <x:c r="I79" s="9">
        <x:f t="shared" si="8"/>
        <x:v>423.35411018464913</x:v>
      </x:c>
      <x:c r="J79" s="20">
        <x:f t="shared" si="9"/>
        <x:v>0</x:v>
      </x:c>
      <x:c r="K79" s="20" t="n">
        <x:f>$B$5+SUM($E$31:E79)</x:f>
        <x:v>34500</x:v>
      </x:c>
      <x:c r="L79" s="20">
        <x:f t="shared" si="10"/>
        <x:v>51276.927604069024</x:v>
      </x:c>
    </x:row>
    <x:row r="80">
      <x:c r="A80">
        <x:f t="shared" si="0"/>
        <x:v>50</x:v>
      </x:c>
      <x:c r="B80" s="8">
        <x:f t="shared" si="1"/>
        <x:v>47788</x:v>
      </x:c>
      <x:c r="C80" s="20">
        <x:f t="shared" si="2"/>
        <x:v>121.60513876204253</x:v>
      </x:c>
      <x:c r="D80" s="9">
        <x:f t="shared" si="3"/>
        <x:v>423.35411018464913</x:v>
      </x:c>
      <x:c r="E80" s="20">
        <x:f t="shared" si="4"/>
        <x:v>500</x:v>
      </x:c>
      <x:c r="F80" s="9">
        <x:f t="shared" si="5"/>
        <x:v>4.1116683479832394</x:v>
      </x:c>
      <x:c r="G80" s="20">
        <x:f t="shared" si="6"/>
        <x:v>415.85628251588241</x:v>
      </x:c>
      <x:c r="H80" s="9">
        <x:f t="shared" si="7"/>
        <x:v>3.4197262282610592</x:v>
      </x:c>
      <x:c r="I80" s="9">
        <x:f t="shared" si="8"/>
        <x:v>430.88550476089347</x:v>
      </x:c>
      <x:c r="J80" s="20">
        <x:f t="shared" si="9"/>
        <x:v>0</x:v>
      </x:c>
      <x:c r="K80" s="20" t="n">
        <x:f>$B$5+SUM($E$31:E80)</x:f>
        <x:v>35000</x:v>
      </x:c>
      <x:c r="L80" s="20">
        <x:f t="shared" si="10"/>
        <x:v>52397.891597001188</x:v>
      </x:c>
    </x:row>
    <x:row r="81">
      <x:c r="A81">
        <x:f t="shared" si="0"/>
        <x:v>51</x:v>
      </x:c>
      <x:c r="B81" s="8">
        <x:f t="shared" si="1"/>
        <x:v>47818</x:v>
      </x:c>
      <x:c r="C81" s="20">
        <x:f t="shared" si="2"/>
        <x:v>122.0915593170907</x:v>
      </x:c>
      <x:c r="D81" s="9">
        <x:f t="shared" si="3"/>
        <x:v>430.88550476089347</x:v>
      </x:c>
      <x:c r="E81" s="20">
        <x:f t="shared" si="4"/>
        <x:v>500</x:v>
      </x:c>
      <x:c r="F81" s="9">
        <x:f t="shared" si="5"/>
        <x:v>4.0952871991864939</x:v>
      </x:c>
      <x:c r="G81" s="20">
        <x:f t="shared" si="6"/>
        <x:v>424.85986530711352</x:v>
      </x:c>
      <x:c r="H81" s="9">
        <x:f t="shared" si="7"/>
        <x:v>3.4798463356806395</x:v>
      </x:c>
      <x:c r="I81" s="9">
        <x:f t="shared" si="8"/>
        <x:v>438.46063829576059</x:v>
      </x:c>
      <x:c r="J81" s="20">
        <x:f t="shared" si="9"/>
        <x:v>0</x:v>
      </x:c>
      <x:c r="K81" s="20" t="n">
        <x:f>$B$5+SUM($E$31:E81)</x:f>
        <x:v>35500</x:v>
      </x:c>
      <x:c r="L81" s="20">
        <x:f t="shared" si="10"/>
        <x:v>53532.343028696305</x:v>
      </x:c>
    </x:row>
    <x:row r="82">
      <x:c r="A82">
        <x:f t="shared" si="0"/>
        <x:v>52</x:v>
      </x:c>
      <x:c r="B82" s="8">
        <x:f t="shared" si="1"/>
        <x:v>47849</x:v>
      </x:c>
      <x:c r="C82" s="20">
        <x:f t="shared" si="2"/>
        <x:v>122.57992555435906</x:v>
      </x:c>
      <x:c r="D82" s="9">
        <x:f t="shared" si="3"/>
        <x:v>438.46063829576059</x:v>
      </x:c>
      <x:c r="E82" s="20">
        <x:f t="shared" si="4"/>
        <x:v>500</x:v>
      </x:c>
      <x:c r="F82" s="9">
        <x:f t="shared" si="5"/>
        <x:v>4.0789713139307704</x:v>
      </x:c>
      <x:c r="G82" s="20">
        <x:f t="shared" si="6"/>
        <x:v>433.97177920648869</x:v>
      </x:c>
      <x:c r="H82" s="9">
        <x:f t="shared" si="7"/>
        <x:v>3.5403168768775308</x:v>
      </x:c>
      <x:c r="I82" s="9">
        <x:f t="shared" si="8"/>
        <x:v>446.07992648656887</x:v>
      </x:c>
      <x:c r="J82" s="20">
        <x:f t="shared" si="9"/>
        <x:v>0</x:v>
      </x:c>
      <x:c r="K82" s="20" t="n">
        <x:f>$B$5+SUM($E$31:E82)</x:f>
        <x:v>36000</x:v>
      </x:c>
      <x:c r="L82" s="20">
        <x:f t="shared" si="10"/>
        <x:v>54680.444180017577</x:v>
      </x:c>
    </x:row>
    <x:row r="83">
      <x:c r="A83">
        <x:f t="shared" si="0"/>
        <x:v>53</x:v>
      </x:c>
      <x:c r="B83" s="8">
        <x:f t="shared" si="1"/>
        <x:v>47880</x:v>
      </x:c>
      <x:c r="C83" s="20">
        <x:f t="shared" si="2"/>
        <x:v>123.0702452565765</x:v>
      </x:c>
      <x:c r="D83" s="9">
        <x:f t="shared" si="3"/>
        <x:v>446.07992648656887</x:v>
      </x:c>
      <x:c r="E83" s="20">
        <x:f t="shared" si="4"/>
        <x:v>500</x:v>
      </x:c>
      <x:c r="F83" s="9">
        <x:f t="shared" si="5"/>
        <x:v>4.0627204322019628</x:v>
      </x:c>
      <x:c r="G83" s="20">
        <x:f t="shared" si="6"/>
        <x:v>443.19332765390112</x:v>
      </x:c>
      <x:c r="H83" s="9">
        <x:f t="shared" si="7"/>
        <x:v>3.6011411753501661</x:v>
      </x:c>
      <x:c r="I83" s="9">
        <x:f t="shared" si="8"/>
        <x:v>453.74378809412099</x:v>
      </x:c>
      <x:c r="J83" s="20">
        <x:f t="shared" si="9"/>
        <x:v>0</x:v>
      </x:c>
      <x:c r="K83" s="20" t="n">
        <x:f>$B$5+SUM($E$31:E83)</x:f>
        <x:v>36500</x:v>
      </x:c>
      <x:c r="L83" s="20">
        <x:f t="shared" si="10"/>
        <x:v>55842.359284391547</x:v>
      </x:c>
    </x:row>
    <x:row r="84">
      <x:c r="A84">
        <x:f t="shared" si="0"/>
        <x:v>54</x:v>
      </x:c>
      <x:c r="B84" s="8">
        <x:f t="shared" si="1"/>
        <x:v>47908</x:v>
      </x:c>
      <x:c r="C84" s="20">
        <x:f t="shared" si="2"/>
        <x:v>123.5625262376028</x:v>
      </x:c>
      <x:c r="D84" s="9">
        <x:f t="shared" si="3"/>
        <x:v>453.74378809412099</x:v>
      </x:c>
      <x:c r="E84" s="20">
        <x:f t="shared" si="4"/>
        <x:v>500</x:v>
      </x:c>
      <x:c r="F84" s="9">
        <x:f t="shared" si="5"/>
        <x:v>4.0465342950218757</x:v>
      </x:c>
      <x:c r="G84" s="20">
        <x:f t="shared" si="6"/>
        <x:v>452.52582977223284</x:v>
      </x:c>
      <x:c r="H84" s="9">
        <x:f t="shared" si="7"/>
        <x:v>3.6623225791131429</x:v>
      </x:c>
      <x:c r="I84" s="9">
        <x:f t="shared" si="8"/>
        <x:v>461.45264496825604</x:v>
      </x:c>
      <x:c r="J84" s="20">
        <x:f t="shared" si="9"/>
        <x:v>0</x:v>
      </x:c>
      <x:c r="K84" s="20" t="n">
        <x:f>$B$5+SUM($E$31:E84)</x:f>
        <x:v>37000</x:v>
      </x:c>
      <x:c r="L84" s="20">
        <x:f t="shared" si="10"/>
        <x:v>57018.254551301347</x:v>
      </x:c>
    </x:row>
    <x:row r="85">
      <x:c r="A85">
        <x:f t="shared" si="0"/>
        <x:v>55</x:v>
      </x:c>
      <x:c r="B85" s="8">
        <x:f t="shared" si="1"/>
        <x:v>47939</x:v>
      </x:c>
      <x:c r="C85" s="20">
        <x:f t="shared" si="2"/>
        <x:v>124.05677634255321</x:v>
      </x:c>
      <x:c r="D85" s="9">
        <x:f t="shared" si="3"/>
        <x:v>461.45264496825604</x:v>
      </x:c>
      <x:c r="E85" s="20">
        <x:f t="shared" si="4"/>
        <x:v>500</x:v>
      </x:c>
      <x:c r="F85" s="9">
        <x:f t="shared" si="5"/>
        <x:v>4.0304126444440991</x:v>
      </x:c>
      <x:c r="G85" s="20">
        <x:f t="shared" si="6"/>
        <x:v>461.97062055605238</x:v>
      </x:c>
      <x:c r="H85" s="9">
        <x:f t="shared" si="7"/>
        <x:v>3.7238644609016012</x:v>
      </x:c>
      <x:c r="I85" s="9">
        <x:f t="shared" si="8"/>
        <x:v>469.20692207360173</x:v>
      </x:c>
      <x:c r="J85" s="20">
        <x:f t="shared" si="9"/>
        <x:v>0</x:v>
      </x:c>
      <x:c r="K85" s="20" t="n">
        <x:f>$B$5+SUM($E$31:E85)</x:f>
        <x:v>37500</x:v>
      </x:c>
      <x:c r="L85" s="20">
        <x:f t="shared" si="10"/>
        <x:v>58208.298190062604</x:v>
      </x:c>
    </x:row>
    <x:row r="86">
      <x:c r="A86">
        <x:f t="shared" si="0"/>
        <x:v>56</x:v>
      </x:c>
      <x:c r="B86" s="8">
        <x:f t="shared" si="1"/>
        <x:v>47969</x:v>
      </x:c>
      <x:c r="C86" s="20">
        <x:f t="shared" si="2"/>
        <x:v>124.55300344792342</x:v>
      </x:c>
      <x:c r="D86" s="9">
        <x:f t="shared" si="3"/>
        <x:v>469.20692207360173</x:v>
      </x:c>
      <x:c r="E86" s="20">
        <x:f t="shared" si="4"/>
        <x:v>500</x:v>
      </x:c>
      <x:c r="F86" s="9">
        <x:f t="shared" si="5"/>
        <x:v>4.0143552235498996</x:v>
      </x:c>
      <x:c r="G86" s="20">
        <x:f t="shared" si="6"/>
        <x:v>471.52905106258282</x:v>
      </x:c>
      <x:c r="H86" s="9">
        <x:f t="shared" si="7"/>
        <x:v>3.7857702183772131</x:v>
      </x:c>
      <x:c r="I86" s="9">
        <x:f t="shared" si="8"/>
        <x:v>477.00704751552882</x:v>
      </x:c>
      <x:c r="J86" s="20">
        <x:f t="shared" si="9"/>
        <x:v>0</x:v>
      </x:c>
      <x:c r="K86" s="20" t="n">
        <x:f>$B$5+SUM($E$31:E86)</x:f>
        <x:v>38000</x:v>
      </x:c>
      <x:c r="L86" s="20">
        <x:f t="shared" si="10"/>
        <x:v>59412.66043388543</x:v>
      </x:c>
    </x:row>
    <x:row r="87">
      <x:c r="A87">
        <x:f t="shared" si="0"/>
        <x:v>57</x:v>
      </x:c>
      <x:c r="B87" s="8">
        <x:f t="shared" si="1"/>
        <x:v>48000</x:v>
      </x:c>
      <x:c r="C87" s="20">
        <x:f t="shared" si="2"/>
        <x:v>125.05121546171513</x:v>
      </x:c>
      <x:c r="D87" s="9">
        <x:f t="shared" si="3"/>
        <x:v>477.00704751552882</x:v>
      </x:c>
      <x:c r="E87" s="20">
        <x:f t="shared" si="4"/>
        <x:v>500</x:v>
      </x:c>
      <x:c r="F87" s="9">
        <x:f t="shared" si="5"/>
        <x:v>3.9983617764441224</x:v>
      </x:c>
      <x:c r="G87" s="20">
        <x:f t="shared" si="6"/>
        <x:v>481.20248860496793</x:v>
      </x:c>
      <x:c r="H87" s="9">
        <x:f t="shared" si="7"/>
        <x:v>3.848043274335784</x:v>
      </x:c>
      <x:c r="I87" s="9">
        <x:f t="shared" si="8"/>
        <x:v>484.85345256630876</x:v>
      </x:c>
      <x:c r="J87" s="20">
        <x:f t="shared" si="9"/>
        <x:v>0</x:v>
      </x:c>
      <x:c r="K87" s="20" t="n">
        <x:f>$B$5+SUM($E$31:E87)</x:f>
        <x:v>38500</x:v>
      </x:c>
      <x:c r="L87" s="20">
        <x:f t="shared" si="10"/>
        <x:v>60631.513564225956</x:v>
      </x:c>
    </x:row>
    <x:row r="88">
      <x:c r="A88">
        <x:f t="shared" si="0"/>
        <x:v>58</x:v>
      </x:c>
      <x:c r="B88" s="8">
        <x:f t="shared" si="1"/>
        <x:v>48030</x:v>
      </x:c>
      <x:c r="C88" s="20">
        <x:f t="shared" si="2"/>
        <x:v>125.55142032356198</x:v>
      </x:c>
      <x:c r="D88" s="9">
        <x:f t="shared" si="3"/>
        <x:v>484.85345256630876</x:v>
      </x:c>
      <x:c r="E88" s="20">
        <x:f t="shared" si="4"/>
        <x:v>500</x:v>
      </x:c>
      <x:c r="F88" s="9">
        <x:f t="shared" si="5"/>
        <x:v>3.982432048251118</x:v>
      </x:c>
      <x:c r="G88" s="20">
        <x:f t="shared" si="6"/>
        <x:v>490.99231694786283</x:v>
      </x:c>
      <x:c r="H88" s="9">
        <x:f t="shared" si="7"/>
        <x:v>3.9106870769164792</x:v>
      </x:c>
      <x:c r="I88" s="9">
        <x:f t="shared" si="8"/>
        <x:v>492.74657169147633</x:v>
      </x:c>
      <x:c r="J88" s="20">
        <x:f t="shared" si="9"/>
        <x:v>0</x:v>
      </x:c>
      <x:c r="K88" s="20" t="n">
        <x:f>$B$5+SUM($E$31:E88)</x:f>
        <x:v>39000</x:v>
      </x:c>
      <x:c r="L88" s="20">
        <x:f t="shared" si="10"/>
        <x:v>61865.031935430714</x:v>
      </x:c>
    </x:row>
    <x:row r="89">
      <x:c r="A89">
        <x:f t="shared" si="0"/>
        <x:v>59</x:v>
      </x:c>
      <x:c r="B89" s="8">
        <x:f t="shared" si="1"/>
        <x:v>48061</x:v>
      </x:c>
      <x:c r="C89" s="20">
        <x:f t="shared" si="2"/>
        <x:v>126.05362600485626</x:v>
      </x:c>
      <x:c r="D89" s="9">
        <x:f t="shared" si="3"/>
        <x:v>492.74657169147633</x:v>
      </x:c>
      <x:c r="E89" s="20">
        <x:f t="shared" si="4"/>
        <x:v>500</x:v>
      </x:c>
      <x:c r="F89" s="9">
        <x:f t="shared" si="5"/>
        <x:v>3.9665657851106748</x:v>
      </x:c>
      <x:c r="G89" s="20">
        <x:f t="shared" si="6"/>
        <x:v>500.89993650537957</x:v>
      </x:c>
      <x:c r="H89" s="9">
        <x:f t="shared" si="7"/>
        <x:v>3.9737050998126962</x:v>
      </x:c>
      <x:c r="I89" s="9">
        <x:f t="shared" si="8"/>
        <x:v>500.68684257639973</x:v>
      </x:c>
      <x:c r="J89" s="20">
        <x:f t="shared" si="9"/>
        <x:v>0</x:v>
      </x:c>
      <x:c r="K89" s="20" t="n">
        <x:f>$B$5+SUM($E$31:E89)</x:f>
        <x:v>39500</x:v>
      </x:c>
      <x:c r="L89" s="20">
        <x:f t="shared" si="10"/>
        <x:v>63113.391999677828</x:v>
      </x:c>
    </x:row>
    <x:row r="90">
      <x:c r="A90">
        <x:f t="shared" si="0"/>
        <x:v>60</x:v>
      </x:c>
      <x:c r="B90" s="8">
        <x:f t="shared" si="1"/>
        <x:v>48092</x:v>
      </x:c>
      <x:c r="C90" s="20">
        <x:f t="shared" si="2"/>
        <x:v>126.55784050887566</x:v>
      </x:c>
      <x:c r="D90" s="9">
        <x:f t="shared" si="3"/>
        <x:v>500.68684257639973</x:v>
      </x:c>
      <x:c r="E90" s="20">
        <x:f t="shared" si="4"/>
        <x:v>500</x:v>
      </x:c>
      <x:c r="F90" s="9">
        <x:f t="shared" si="5"/>
        <x:v>3.9507627341739795</x:v>
      </x:c>
      <x:c r="G90" s="20">
        <x:f t="shared" si="6"/>
        <x:v>510.92676454141224</x:v>
      </x:c>
      <x:c r="H90" s="9">
        <x:f t="shared" si="7"/>
        <x:v>4.0371008424845893</x:v>
      </x:c>
      <x:c r="I90" s="9">
        <x:f t="shared" si="8"/>
        <x:v>508.67470615305825</x:v>
      </x:c>
      <x:c r="J90" s="20">
        <x:f t="shared" si="9"/>
        <x:v>0</x:v>
      </x:c>
      <x:c r="K90" s="20" t="n">
        <x:f>$B$5+SUM($E$31:E90)</x:f>
        <x:v>40000</x:v>
      </x:c>
      <x:c r="L90" s="20">
        <x:f t="shared" si="10"/>
        <x:v>64376.772332217937</x:v>
      </x:c>
    </x:row>
    <x:row r="91">
      <x:c r="A91">
        <x:f t="shared" si="0"/>
        <x:v>61</x:v>
      </x:c>
      <x:c r="B91" s="8">
        <x:f t="shared" si="1"/>
        <x:v>48122</x:v>
      </x:c>
      <x:c r="C91" s="20">
        <x:f t="shared" si="2"/>
        <x:v>127.06407187091119</x:v>
      </x:c>
      <x:c r="D91" s="9">
        <x:f t="shared" si="3"/>
        <x:v>508.67470615305825</x:v>
      </x:c>
      <x:c r="E91" s="20">
        <x:f t="shared" si="4"/>
        <x:v>500</x:v>
      </x:c>
      <x:c r="F91" s="9">
        <x:f t="shared" si="5"/>
        <x:v>3.9350226435995799</x:v>
      </x:c>
      <x:c r="G91" s="20">
        <x:f t="shared" si="6"/>
        <x:v>521.07423537237457</x:v>
      </x:c>
      <x:c r="H91" s="9">
        <x:f t="shared" si="7"/>
        <x:v>4.1008778303732623</x:v>
      </x:c>
      <x:c r="I91" s="9">
        <x:f t="shared" si="8"/>
        <x:v>516.7106066270311</x:v>
      </x:c>
      <x:c r="J91" s="20">
        <x:f t="shared" si="9"/>
        <x:v>0</x:v>
      </x:c>
      <x:c r="K91" s="20" t="n">
        <x:f>$B$5+SUM($E$31:E91)</x:f>
        <x:v>40500</x:v>
      </x:c>
      <x:c r="L91" s="20">
        <x:f t="shared" si="10"/>
        <x:v>65655.353656919207</x:v>
      </x:c>
    </x:row>
    <x:row r="92">
      <x:c r="A92">
        <x:f t="shared" si="0"/>
        <x:v>62</x:v>
      </x:c>
      <x:c r="B92" s="8">
        <x:f t="shared" si="1"/>
        <x:v>48153</x:v>
      </x:c>
      <x:c r="C92" s="20">
        <x:f t="shared" si="2"/>
        <x:v>127.57232815839484</x:v>
      </x:c>
      <x:c r="D92" s="9">
        <x:f t="shared" si="3"/>
        <x:v>516.7106066270311</x:v>
      </x:c>
      <x:c r="E92" s="20">
        <x:f t="shared" si="4"/>
        <x:v>500</x:v>
      </x:c>
      <x:c r="F92" s="9">
        <x:f t="shared" si="5"/>
        <x:v>3.9193452625493825</x:v>
      </x:c>
      <x:c r="G92" s="20">
        <x:f t="shared" si="6"/>
        <x:v>531.34380057237513</x:v>
      </x:c>
      <x:c r="H92" s="9">
        <x:f t="shared" si="7"/>
        <x:v>4.1650396151166449</x:v>
      </x:c>
      <x:c r="I92" s="9">
        <x:f t="shared" si="8"/>
        <x:v>524.79499150469712</x:v>
      </x:c>
      <x:c r="J92" s="20">
        <x:f t="shared" si="9"/>
        <x:v>0</x:v>
      </x:c>
      <x:c r="K92" s="20" t="n">
        <x:f>$B$5+SUM($E$31:E92)</x:f>
        <x:v>41000</x:v>
      </x:c>
      <x:c r="L92" s="20">
        <x:f t="shared" si="10"/>
        <x:v>66949.318872119256</x:v>
      </x:c>
    </x:row>
    <x:row r="93">
      <x:c r="A93">
        <x:f t="shared" si="0"/>
        <x:v>63</x:v>
      </x:c>
      <x:c r="B93" s="8">
        <x:f t="shared" si="1"/>
        <x:v>48183</x:v>
      </x:c>
      <x:c r="C93" s="20">
        <x:f t="shared" si="2"/>
        <x:v>128.08261747102841</x:v>
      </x:c>
      <x:c r="D93" s="9">
        <x:f t="shared" si="3"/>
        <x:v>524.79499150469712</x:v>
      </x:c>
      <x:c r="E93" s="20">
        <x:f t="shared" si="4"/>
        <x:v>500</x:v>
      </x:c>
      <x:c r="F93" s="9">
        <x:f t="shared" si="5"/>
        <x:v>3.903730341184644</x:v>
      </x:c>
      <x:c r="G93" s="20">
        <x:f t="shared" si="6"/>
        <x:v>541.73692918086181</x:v>
      </x:c>
      <x:c r="H93" s="9">
        <x:f t="shared" si="7"/>
        <x:v>4.2295897747670539</x:v>
      </x:c>
      <x:c r="I93" s="9">
        <x:f t="shared" si="8"/>
        <x:v>532.92831162064886</x:v>
      </x:c>
      <x:c r="J93" s="20">
        <x:f t="shared" si="9"/>
        <x:v>0</x:v>
      </x:c>
      <x:c r="K93" s="20" t="n">
        <x:f>$B$5+SUM($E$31:E93)</x:f>
        <x:v>41500</x:v>
      </x:c>
      <x:c r="L93" s="20">
        <x:f t="shared" si="10"/>
        <x:v>68258.853076788597</x:v>
      </x:c>
    </x:row>
    <x:row r="94">
      <x:c r="A94">
        <x:f t="shared" si="0"/>
        <x:v>64</x:v>
      </x:c>
      <x:c r="B94" s="8">
        <x:f t="shared" si="1"/>
        <x:v>48214</x:v>
      </x:c>
      <x:c r="C94" s="20">
        <x:f t="shared" si="2"/>
        <x:v>128.59494794091253</x:v>
      </x:c>
      <x:c r="D94" s="9">
        <x:f t="shared" si="3"/>
        <x:v>532.92831162064886</x:v>
      </x:c>
      <x:c r="E94" s="20">
        <x:f t="shared" si="4"/>
        <x:v>500</x:v>
      </x:c>
      <x:c r="F94" s="9">
        <x:f t="shared" si="5"/>
        <x:v>3.8881776306619957</x:v>
      </x:c>
      <x:c r="G94" s="20">
        <x:f t="shared" si="6"/>
        <x:v>552.25510791276599</x:v>
      </x:c>
      <x:c r="H94" s="9">
        <x:f t="shared" si="7"/>
        <x:v>4.294531914010487</x:v>
      </x:c>
      <x:c r="I94" s="9">
        <x:f t="shared" si="8"/>
        <x:v>541.11102116532129</x:v>
      </x:c>
      <x:c r="J94" s="20">
        <x:f t="shared" si="9"/>
        <x:v>0</x:v>
      </x:c>
      <x:c r="K94" s="20" t="n">
        <x:f>$B$5+SUM($E$31:E94)</x:f>
        <x:v>42000</x:v>
      </x:c>
      <x:c r="L94" s="20">
        <x:f t="shared" si="10"/>
        <x:v>69584.143597008515</x:v>
      </x:c>
    </x:row>
    <x:row r="95">
      <x:c r="A95">
        <x:f t="shared" si="0"/>
        <x:v>65</x:v>
      </x:c>
      <x:c r="B95" s="8">
        <x:f t="shared" si="1"/>
        <x:v>48245</x:v>
      </x:c>
      <x:c r="C95" s="20">
        <x:f t="shared" si="2"/>
        <x:v>129.10932773267618</x:v>
      </x:c>
      <x:c r="D95" s="9">
        <x:f t="shared" si="3"/>
        <x:v>541.11102116532129</x:v>
      </x:c>
      <x:c r="E95" s="20">
        <x:f t="shared" si="4"/>
        <x:v>500</x:v>
      </x:c>
      <x:c r="F95" s="9">
        <x:f t="shared" si="5"/>
        <x:v>3.8726868831294783</x:v>
      </x:c>
      <x:c r="G95" s="20">
        <x:f t="shared" si="6"/>
        <x:v>562.89984137117233</x:v>
      </x:c>
      <x:c r="H95" s="9">
        <x:f t="shared" si="7"/>
        <x:v>4.359869664387606</x:v>
      </x:c>
      <x:c r="I95" s="9">
        <x:f t="shared" si="8"/>
        <x:v>549.3435777128384</x:v>
      </x:c>
      <x:c r="J95" s="20">
        <x:f t="shared" si="9"/>
        <x:v>0</x:v>
      </x:c>
      <x:c r="K95" s="20" t="n">
        <x:f>$B$5+SUM($E$31:E95)</x:f>
        <x:v>42500</x:v>
      </x:c>
      <x:c r="L95" s="20">
        <x:f t="shared" si="10"/>
        <x:v>70925.380012767724</x:v>
      </x:c>
    </x:row>
    <x:row r="96">
      <x:c r="A96">
        <x:f t="shared" si="0"/>
        <x:v>66</x:v>
      </x:c>
      <x:c r="B96" s="8">
        <x:f t="shared" si="1"/>
        <x:v>48274</x:v>
      </x:c>
      <x:c r="C96" s="20">
        <x:f t="shared" si="2"/>
        <x:v>129.62576504360689</x:v>
      </x:c>
      <x:c r="D96" s="9">
        <x:f t="shared" si="3"/>
        <x:v>549.3435777128384</x:v>
      </x:c>
      <x:c r="E96" s="20">
        <x:f t="shared" si="4"/>
        <x:v>500</x:v>
      </x:c>
      <x:c r="F96" s="9">
        <x:f t="shared" si="5"/>
        <x:v>3.8572578517225877</x:v>
      </x:c>
      <x:c r="G96" s="20">
        <x:f t="shared" si="6"/>
        <x:v>573.67265226255029</x:v>
      </x:c>
      <x:c r="H96" s="9">
        <x:f t="shared" si="7"/>
        <x:v>4.4256066845164872</x:v>
      </x:c>
      <x:c r="I96" s="9">
        <x:f t="shared" si="8"/>
        <x:v>557.62644224907751</x:v>
      </x:c>
      <x:c r="J96" s="20">
        <x:f t="shared" si="9"/>
        <x:v>0</x:v>
      </x:c>
      <x:c r="K96" s="20" t="n">
        <x:f>$B$5+SUM($E$31:E96)</x:f>
        <x:v>43000</x:v>
      </x:c>
      <x:c r="L96" s="20">
        <x:f t="shared" si="10"/>
        <x:v>72282.754185081343</x:v>
      </x:c>
    </x:row>
    <x:row r="97">
      <x:c r="A97" t="n">
        <x:f t="shared" ref="A97:A150" si="11">A96+1</x:f>
        <x:v>67</x:v>
      </x:c>
      <x:c r="B97" s="8" t="n">
        <x:f t="shared" ref="B97:B150" si="12">EDATE($B$12,A97-1)</x:f>
        <x:v>48305</x:v>
      </x:c>
      <x:c r="C97" s="20" t="n">
        <x:f t="shared" ref="C97:C150" si="13">$B$7*(1+$B$9)^(A97-1)</x:f>
        <x:v>130.1442681037812</x:v>
      </x:c>
      <x:c r="D97" s="9" t="n">
        <x:f t="shared" ref="D97:D150" si="14">I96</x:f>
        <x:v>557.6264422490775</x:v>
      </x:c>
      <x:c r="E97" s="20" t="n">
        <x:f t="shared" ref="E97:E150" si="15">$B$6</x:f>
        <x:v>500</x:v>
      </x:c>
      <x:c r="F97" s="9" t="n">
        <x:f t="shared" ref="F97:F150" si="16">E97/C97</x:f>
        <x:v>3.84189029056035</x:v>
      </x:c>
      <x:c r="G97" s="20" t="n">
        <x:f t="shared" ref="G97:G150" si="17">(D97+F97)*C97*$B$8</x:f>
        <x:v>584.5750816145729</x:v>
      </x:c>
      <x:c r="H97" s="9" t="n">
        <x:f t="shared" ref="H97:H150" si="18">G97*$B$11/C97</x:f>
        <x:v>4.491746660317103</x:v>
      </x:c>
      <x:c r="I97" s="9" t="n">
        <x:f t="shared" ref="I97:I150" si="19">D97+F97+H97</x:f>
        <x:v>565.960079199955</x:v>
      </x:c>
      <x:c r="J97" s="20" t="n">
        <x:f t="shared" ref="J97:J150" si="20">G97*(1-$B$11)</x:f>
        <x:v>0</x:v>
      </x:c>
      <x:c r="K97" s="20" t="n">
        <x:f>$B$5+SUM($E$31:E97)</x:f>
        <x:v>43500</x:v>
      </x:c>
      <x:c r="L97" s="20" t="n">
        <x:f t="shared" ref="L97:L150" si="21">I97*C97</x:f>
        <x:v>73656.46028343619</x:v>
      </x:c>
    </x:row>
    <x:row r="98">
      <x:c r="A98">
        <x:f t="shared" si="11"/>
        <x:v>68</x:v>
      </x:c>
      <x:c r="B98" s="8">
        <x:f t="shared" si="12"/>
        <x:v>48335</x:v>
      </x:c>
      <x:c r="C98" s="20">
        <x:f t="shared" si="13"/>
        <x:v>130.66484517619645</x:v>
      </x:c>
      <x:c r="D98" s="9">
        <x:f t="shared" si="14"/>
        <x:v>565.96007919995498</x:v>
      </x:c>
      <x:c r="E98" s="20">
        <x:f t="shared" si="15"/>
        <x:v>500</x:v>
      </x:c>
      <x:c r="F98" s="9">
        <x:f t="shared" si="16"/>
        <x:v>3.8265839547413805</x:v>
      </x:c>
      <x:c r="G98" s="20">
        <x:f t="shared" si="17"/>
        <x:v>595.60868899656009</x:v>
      </x:c>
      <x:c r="H98" s="9">
        <x:f t="shared" si="18"/>
        <x:v>4.558293305237572</x:v>
      </x:c>
      <x:c r="I98" s="9">
        <x:f t="shared" si="19"/>
        <x:v>574.344956459934</x:v>
      </x:c>
      <x:c r="J98" s="20">
        <x:f t="shared" si="20"/>
        <x:v>0</x:v>
      </x:c>
      <x:c r="K98" s="20" t="n">
        <x:f>$B$5+SUM($E$31:E98)</x:f>
        <x:v>44000</x:v>
      </x:c>
      <x:c r="L98" s="20">
        <x:f t="shared" si="21"/>
        <x:v>75046.694813566573</x:v>
      </x:c>
    </x:row>
    <x:row r="99">
      <x:c r="A99">
        <x:f t="shared" si="11"/>
        <x:v>69</x:v>
      </x:c>
      <x:c r="B99" s="8">
        <x:f t="shared" si="12"/>
        <x:v>48366</x:v>
      </x:c>
      <x:c r="C99" s="20">
        <x:f t="shared" si="13"/>
        <x:v>131.18750455690125</x:v>
      </x:c>
      <x:c r="D99" s="9">
        <x:f t="shared" si="14"/>
        <x:v>574.344956459934</x:v>
      </x:c>
      <x:c r="E99" s="20">
        <x:f t="shared" si="15"/>
        <x:v>500</x:v>
      </x:c>
      <x:c r="F99" s="9">
        <x:f t="shared" si="16"/>
        <x:v>3.81133860034002</x:v>
      </x:c>
      <x:c r="G99" s="20">
        <x:f t="shared" si="17"/>
        <x:v>606.77505274256669</x:v>
      </x:c>
      <x:c r="H99" s="9">
        <x:f t="shared" si="18"/>
        <x:v>4.625250360482192</x:v>
      </x:c>
      <x:c r="I99" s="9">
        <x:f t="shared" si="19"/>
        <x:v>582.78154542075617</x:v>
      </x:c>
      <x:c r="J99" s="20">
        <x:f t="shared" si="20"/>
        <x:v>0</x:v>
      </x:c>
      <x:c r="K99" s="20" t="n">
        <x:f>$B$5+SUM($E$31:E99)</x:f>
        <x:v>44500</x:v>
      </x:c>
      <x:c r="L99" s="20">
        <x:f t="shared" si="21"/>
        <x:v>76453.656645563402</x:v>
      </x:c>
    </x:row>
    <x:row r="100">
      <x:c r="A100">
        <x:f t="shared" si="11"/>
        <x:v>70</x:v>
      </x:c>
      <x:c r="B100" s="8">
        <x:f t="shared" si="12"/>
        <x:v>48396</x:v>
      </x:c>
      <x:c r="C100" s="20">
        <x:f t="shared" si="13"/>
        <x:v>131.71225457512884</x:v>
      </x:c>
      <x:c r="D100" s="9">
        <x:f t="shared" si="14"/>
        <x:v>582.78154542075617</x:v>
      </x:c>
      <x:c r="E100" s="20">
        <x:f t="shared" si="15"/>
        <x:v>500</x:v>
      </x:c>
      <x:c r="F100" s="9">
        <x:f t="shared" si="16"/>
        <x:v>3.7961539844024106</x:v>
      </x:c>
      <x:c r="G100" s="20">
        <x:f t="shared" si="17"/>
        <x:v>618.07577017716517</x:v>
      </x:c>
      <x:c r="H100" s="9">
        <x:f t="shared" si="18"/>
        <x:v>4.6926215952412687</x:v>
      </x:c>
      <x:c r="I100" s="9">
        <x:f t="shared" si="19"/>
        <x:v>591.2703210003998</x:v>
      </x:c>
      <x:c r="J100" s="20">
        <x:f t="shared" si="20"/>
        <x:v>0</x:v>
      </x:c>
      <x:c r="K100" s="20" t="n">
        <x:f>$B$5+SUM($E$31:E100)</x:f>
        <x:v>45000</x:v>
      </x:c>
      <x:c r="L100" s="20">
        <x:f t="shared" si="21"/>
        <x:v>77877.547042322811</x:v>
      </x:c>
    </x:row>
    <x:row r="101">
      <x:c r="A101">
        <x:f t="shared" si="11"/>
        <x:v>71</x:v>
      </x:c>
      <x:c r="B101" s="8">
        <x:f t="shared" si="12"/>
        <x:v>48427</x:v>
      </x:c>
      <x:c r="C101" s="20">
        <x:f t="shared" si="13"/>
        <x:v>132.23910359342935</x:v>
      </x:c>
      <x:c r="D101" s="9">
        <x:f t="shared" si="14"/>
        <x:v>591.2703210003998</x:v>
      </x:c>
      <x:c r="E101" s="20">
        <x:f t="shared" si="15"/>
        <x:v>500</x:v>
      </x:c>
      <x:c r="F101" s="9">
        <x:f t="shared" si="16"/>
        <x:v>3.7810298649426404</x:v>
      </x:c>
      <x:c r="G101" s="20">
        <x:f t="shared" si="17"/>
        <x:v>629.51245784393677</x:v>
      </x:c>
      <x:c r="H101" s="9">
        <x:f t="shared" si="18"/>
        <x:v>4.7604108069227395</x:v>
      </x:c>
      <x:c r="I101" s="9">
        <x:f t="shared" si="19"/>
        <x:v>599.81176167226522</x:v>
      </x:c>
      <x:c r="J101" s="20">
        <x:f t="shared" si="20"/>
        <x:v>0</x:v>
      </x:c>
      <x:c r="K101" s="20" t="n">
        <x:f>$B$5+SUM($E$31:E101)</x:f>
        <x:v>45500</x:v>
      </x:c>
      <x:c r="L101" s="20">
        <x:f t="shared" si="21"/>
        <x:v>79318.569688336036</x:v>
      </x:c>
    </x:row>
    <x:row r="102">
      <x:c r="A102">
        <x:f t="shared" si="11"/>
        <x:v>72</x:v>
      </x:c>
      <x:c r="B102" s="8">
        <x:f t="shared" si="12"/>
        <x:v>48458</x:v>
      </x:c>
      <x:c r="C102" s="20">
        <x:f t="shared" si="13"/>
        <x:v>132.76806000780306</x:v>
      </x:c>
      <x:c r="D102" s="9">
        <x:f t="shared" si="14"/>
        <x:v>599.81176167226522</x:v>
      </x:c>
      <x:c r="E102" s="20">
        <x:f t="shared" si="15"/>
        <x:v>500</x:v>
      </x:c>
      <x:c r="F102" s="9">
        <x:f t="shared" si="16"/>
        <x:v>3.7659660009388851</x:v>
      </x:c>
      <x:c r="G102" s="20">
        <x:f t="shared" si="17"/>
        <x:v>641.08675173671497</x:v>
      </x:c>
      <x:c r="H102" s="9">
        <x:f t="shared" si="18"/>
        <x:v>4.8286218213856325</x:v>
      </x:c>
      <x:c r="I102" s="9">
        <x:f t="shared" si="19"/>
        <x:v>608.40634949458968</x:v>
      </x:c>
      <x:c r="J102" s="20">
        <x:f t="shared" si="20"/>
        <x:v>0</x:v>
      </x:c>
      <x:c r="K102" s="20" t="n">
        <x:f>$B$5+SUM($E$31:E102)</x:f>
        <x:v>46000</x:v>
      </x:c>
      <x:c r="L102" s="20">
        <x:f t="shared" si="21"/>
        <x:v>80776.930718826086</x:v>
      </x:c>
    </x:row>
    <x:row r="103">
      <x:c r="A103">
        <x:f t="shared" si="11"/>
        <x:v>73</x:v>
      </x:c>
      <x:c r="B103" s="8">
        <x:f t="shared" si="12"/>
        <x:v>48488</x:v>
      </x:c>
      <x:c r="C103" s="20">
        <x:f t="shared" si="13"/>
        <x:v>133.29913224783431</x:v>
      </x:c>
      <x:c r="D103" s="9">
        <x:f t="shared" si="14"/>
        <x:v>608.40634949458968</x:v>
      </x:c>
      <x:c r="E103" s="20">
        <x:f t="shared" si="15"/>
        <x:v>500</x:v>
      </x:c>
      <x:c r="F103" s="9">
        <x:f t="shared" si="16"/>
        <x:v>3.7509621523295658</x:v>
      </x:c>
      <x:c r="G103" s="20">
        <x:f t="shared" si="17"/>
        <x:v>652.8003075336112</x:v>
      </x:c>
      <x:c r="H103" s="9">
        <x:f t="shared" si="18"/>
        <x:v>4.8972584931753538</x:v>
      </x:c>
      <x:c r="I103" s="9">
        <x:f t="shared" si="19"/>
        <x:v>617.0545701400946</x:v>
      </x:c>
      <x:c r="J103" s="20">
        <x:f t="shared" si="20"/>
        <x:v>0</x:v>
      </x:c>
      <x:c r="K103" s="20" t="n">
        <x:f>$B$5+SUM($E$31:E103)</x:f>
        <x:v>46500</x:v>
      </x:c>
      <x:c r="L103" s="20">
        <x:f t="shared" si="21"/>
        <x:v>82252.838749235016</x:v>
      </x:c>
    </x:row>
    <x:row r="104">
      <x:c r="A104">
        <x:f t="shared" si="11"/>
        <x:v>74</x:v>
      </x:c>
      <x:c r="B104" s="8">
        <x:f t="shared" si="12"/>
        <x:v>48519</x:v>
      </x:c>
      <x:c r="C104" s="20">
        <x:f t="shared" si="13"/>
        <x:v>133.83232877682562</x:v>
      </x:c>
      <x:c r="D104" s="9">
        <x:f t="shared" si="14"/>
        <x:v>617.0545701400946</x:v>
      </x:c>
      <x:c r="E104" s="20">
        <x:f t="shared" si="15"/>
        <x:v>500</x:v>
      </x:c>
      <x:c r="F104" s="9">
        <x:f t="shared" si="16"/>
        <x:v>3.7360180800095284</x:v>
      </x:c>
      <x:c r="G104" s="20">
        <x:f t="shared" si="17"/>
        <x:v>664.65480083385569</x:v>
      </x:c>
      <x:c r="H104" s="9">
        <x:f t="shared" si="18"/>
        <x:v>4.966324705760834</x:v>
      </x:c>
      <x:c r="I104" s="9">
        <x:f t="shared" si="19"/>
        <x:v>625.75691292586498</x:v>
      </x:c>
      <x:c r="J104" s="20">
        <x:f t="shared" si="20"/>
        <x:v>0</x:v>
      </x:c>
      <x:c r="K104" s="20" t="n">
        <x:f>$B$5+SUM($E$31:E104)</x:f>
        <x:v>47000</x:v>
      </x:c>
      <x:c r="L104" s="20">
        <x:f t="shared" si="21"/>
        <x:v>83746.504905065798</x:v>
      </x:c>
    </x:row>
    <x:row r="105">
      <x:c r="A105">
        <x:f t="shared" si="11"/>
        <x:v>75</x:v>
      </x:c>
      <x:c r="B105" s="8">
        <x:f t="shared" si="12"/>
        <x:v>48549</x:v>
      </x:c>
      <x:c r="C105" s="20">
        <x:f t="shared" si="13"/>
        <x:v>134.36765809193295</x:v>
      </x:c>
      <x:c r="D105" s="9">
        <x:f t="shared" si="14"/>
        <x:v>625.75691292586498</x:v>
      </x:c>
      <x:c r="E105" s="20">
        <x:f t="shared" si="15"/>
        <x:v>500</x:v>
      </x:c>
      <x:c r="F105" s="9">
        <x:f t="shared" si="16"/>
        <x:v>3.7211335458262225</x:v>
      </x:c>
      <x:c r="G105" s="20">
        <x:f t="shared" si="17"/>
        <x:v>676.65192739748863</x:v>
      </x:c>
      <x:c r="H105" s="9">
        <x:f t="shared" si="18"/>
        <x:v>5.0358243717735292</x:v>
      </x:c>
      <x:c r="I105" s="9">
        <x:f t="shared" si="19"/>
        <x:v>634.5138708434647</x:v>
      </x:c>
      <x:c r="J105" s="20">
        <x:f t="shared" si="20"/>
        <x:v>0</x:v>
      </x:c>
      <x:c r="K105" s="20" t="n">
        <x:f>$B$5+SUM($E$31:E105)</x:f>
        <x:v>47500</x:v>
      </x:c>
      <x:c r="L105" s="20">
        <x:f t="shared" si="21"/>
        <x:v>85258.142852083576</x:v>
      </x:c>
    </x:row>
    <x:row r="106">
      <x:c r="A106">
        <x:f t="shared" si="11"/>
        <x:v>76</x:v>
      </x:c>
      <x:c r="B106" s="8">
        <x:f t="shared" si="12"/>
        <x:v>48580</x:v>
      </x:c>
      <x:c r="C106" s="20">
        <x:f t="shared" si="13"/>
        <x:v>134.90512872430068</x:v>
      </x:c>
      <x:c r="D106" s="9">
        <x:f t="shared" si="14"/>
        <x:v>634.5138708434647</x:v>
      </x:c>
      <x:c r="E106" s="20">
        <x:f t="shared" si="15"/>
        <x:v>500</x:v>
      </x:c>
      <x:c r="F106" s="9">
        <x:f t="shared" si="16"/>
        <x:v>3.7063083125759189</x:v>
      </x:c>
      <x:c r="G106" s="20">
        <x:f t="shared" si="17"/>
        <x:v>688.79340338793531</x:v>
      </x:c>
      <x:c r="H106" s="9">
        <x:f t="shared" si="18"/>
        <x:v>5.1057614332483254</x:v>
      </x:c>
      <x:c r="I106" s="9">
        <x:f t="shared" si="19"/>
        <x:v>643.32594058928896</x:v>
      </x:c>
      <x:c r="J106" s="20">
        <x:f t="shared" si="20"/>
        <x:v>0</x:v>
      </x:c>
      <x:c r="K106" s="20" t="n">
        <x:f>$B$5+SUM($E$31:E106)</x:f>
        <x:v>48000</x:v>
      </x:c>
      <x:c r="L106" s="20">
        <x:f t="shared" si="21"/>
        <x:v>86787.968826879835</x:v>
      </x:c>
    </x:row>
    <x:row r="107">
      <x:c r="A107">
        <x:f t="shared" si="11"/>
        <x:v>77</x:v>
      </x:c>
      <x:c r="B107" s="8">
        <x:f t="shared" si="12"/>
        <x:v>48611</x:v>
      </x:c>
      <x:c r="C107" s="20">
        <x:f t="shared" si="13"/>
        <x:v>135.44474923919788</x:v>
      </x:c>
      <x:c r="D107" s="9">
        <x:f t="shared" si="14"/>
        <x:v>643.32594058928896</x:v>
      </x:c>
      <x:c r="E107" s="20">
        <x:f t="shared" si="15"/>
        <x:v>500</x:v>
      </x:c>
      <x:c r="F107" s="9">
        <x:f t="shared" si="16"/>
        <x:v>3.6915421439999196</x:v>
      </x:c>
      <x:c r="G107" s="20">
        <x:f t="shared" si="17"/>
        <x:v>701.08096561749869</x:v>
      </x:c>
      <x:c r="H107" s="9">
        <x:f t="shared" si="18"/>
        <x:v>5.1761398618663099</x:v>
      </x:c>
      <x:c r="I107" s="9">
        <x:f t="shared" si="19"/>
        <x:v>652.19362259515515</x:v>
      </x:c>
      <x:c r="J107" s="20">
        <x:f t="shared" si="20"/>
        <x:v>0</x:v>
      </x:c>
      <x:c r="K107" s="20" t="n">
        <x:f>$B$5+SUM($E$31:E107)</x:f>
        <x:v>48500</x:v>
      </x:c>
      <x:c r="L107" s="20">
        <x:f t="shared" si="21"/>
        <x:v>88336.201667804853</x:v>
      </x:c>
    </x:row>
    <x:row r="108">
      <x:c r="A108">
        <x:f t="shared" si="11"/>
        <x:v>78</x:v>
      </x:c>
      <x:c r="B108" s="8">
        <x:f t="shared" si="12"/>
        <x:v>48639</x:v>
      </x:c>
      <x:c r="C108" s="20">
        <x:f t="shared" si="13"/>
        <x:v>135.98652823615467</x:v>
      </x:c>
      <x:c r="D108" s="9">
        <x:f t="shared" si="14"/>
        <x:v>652.19362259515515</x:v>
      </x:c>
      <x:c r="E108" s="20">
        <x:f t="shared" si="15"/>
        <x:v>500</x:v>
      </x:c>
      <x:c r="F108" s="9">
        <x:f t="shared" si="16"/>
        <x:v>3.6768348047807962</x:v>
      </x:c>
      <x:c r="G108" s="20">
        <x:f t="shared" si="17"/>
        <x:v>713.5163717958086</x:v>
      </x:c>
      <x:c r="H108" s="9">
        <x:f t="shared" si="18"/>
        <x:v>5.2469636591994879</x:v>
      </x:c>
      <x:c r="I108" s="9">
        <x:f t="shared" si="19"/>
        <x:v>661.11742105913549</x:v>
      </x:c>
      <x:c r="J108" s="20">
        <x:f t="shared" si="20"/>
        <x:v>0</x:v>
      </x:c>
      <x:c r="K108" s="20" t="n">
        <x:f>$B$5+SUM($E$31:E108)</x:f>
        <x:v>49000</x:v>
      </x:c>
      <x:c r="L108" s="20">
        <x:f t="shared" si="21"/>
        <x:v>89903.062846271889</x:v>
      </x:c>
    </x:row>
    <x:row r="109">
      <x:c r="A109">
        <x:f t="shared" si="11"/>
        <x:v>79</x:v>
      </x:c>
      <x:c r="B109" s="8">
        <x:f t="shared" si="12"/>
        <x:v>48670</x:v>
      </x:c>
      <x:c r="C109" s="20">
        <x:f t="shared" si="13"/>
        <x:v>136.53047434909931</x:v>
      </x:c>
      <x:c r="D109" s="9">
        <x:f t="shared" si="14"/>
        <x:v>661.11742105913549</x:v>
      </x:c>
      <x:c r="E109" s="20">
        <x:f t="shared" si="15"/>
        <x:v>500</x:v>
      </x:c>
      <x:c r="F109" s="9">
        <x:f t="shared" si="16"/>
        <x:v>3.6621860605386414</x:v>
      </x:c>
      <x:c r="G109" s="20">
        <x:f t="shared" si="17"/>
        <x:v>726.10140078125585</x:v>
      </x:c>
      <x:c r="H109" s="9">
        <x:f t="shared" si="18"/>
        <x:v>5.3182368569573928</x:v>
      </x:c>
      <x:c r="I109" s="9">
        <x:f t="shared" si="19"/>
        <x:v>670.09784397663145</x:v>
      </x:c>
      <x:c r="J109" s="20">
        <x:f t="shared" si="20"/>
        <x:v>0</x:v>
      </x:c>
      <x:c r="K109" s="20" t="n">
        <x:f>$B$5+SUM($E$31:E109)</x:f>
        <x:v>49500</x:v>
      </x:c>
      <x:c r="L109" s="20">
        <x:f t="shared" si="21"/>
        <x:v>91488.776498438237</x:v>
      </x:c>
    </x:row>
    <x:row r="110">
      <x:c r="A110">
        <x:f t="shared" si="11"/>
        <x:v>80</x:v>
      </x:c>
      <x:c r="B110" s="8">
        <x:f t="shared" si="12"/>
        <x:v>48700</x:v>
      </x:c>
      <x:c r="C110" s="20">
        <x:f t="shared" si="13"/>
        <x:v>137.07659624649568</x:v>
      </x:c>
      <x:c r="D110" s="9">
        <x:f t="shared" si="14"/>
        <x:v>670.09784397663145</x:v>
      </x:c>
      <x:c r="E110" s="20">
        <x:f t="shared" si="15"/>
        <x:v>500</x:v>
      </x:c>
      <x:c r="F110" s="9">
        <x:f t="shared" si="16"/>
        <x:v>3.6475956778273324</x:v>
      </x:c>
      <x:c r="G110" s="20">
        <x:f t="shared" si="17"/>
        <x:v>738.83785283545581</x:v>
      </x:c>
      <x:c r="H110" s="9">
        <x:f t="shared" si="18"/>
        <x:v>5.389963517235671</x:v>
      </x:c>
      <x:c r="I110" s="9">
        <x:f t="shared" si="19"/>
        <x:v>679.13540317169441</x:v>
      </x:c>
      <x:c r="J110" s="20">
        <x:f t="shared" si="20"/>
        <x:v>0</x:v>
      </x:c>
      <x:c r="K110" s="20" t="n">
        <x:f>$B$5+SUM($E$31:E110)</x:f>
        <x:v>50000</x:v>
      </x:c>
      <x:c r="L110" s="20">
        <x:f t="shared" si="21"/>
        <x:v>93093.569457267411</x:v>
      </x:c>
    </x:row>
    <x:row r="111">
      <x:c r="A111">
        <x:f t="shared" si="11"/>
        <x:v>81</x:v>
      </x:c>
      <x:c r="B111" s="8">
        <x:f t="shared" si="12"/>
        <x:v>48731</x:v>
      </x:c>
      <x:c r="C111" s="20">
        <x:f t="shared" si="13"/>
        <x:v>137.62490263148169</x:v>
      </x:c>
      <x:c r="D111" s="9">
        <x:f t="shared" si="14"/>
        <x:v>679.13540317169441</x:v>
      </x:c>
      <x:c r="E111" s="20">
        <x:f t="shared" si="15"/>
        <x:v>500</x:v>
      </x:c>
      <x:c r="F111" s="9">
        <x:f t="shared" si="16"/>
        <x:v>3.6330634241308086</x:v>
      </x:c>
      <x:c r="G111" s="20">
        <x:f t="shared" si="17"/>
        <x:v>751.72754988077202</x:v>
      </x:c>
      <x:c r="H111" s="9">
        <x:f t="shared" si="18"/>
        <x:v>5.4621477327666019</x:v>
      </x:c>
      <x:c r="I111" s="9">
        <x:f t="shared" si="19"/>
        <x:v>688.23061432859186</x:v>
      </x:c>
      <x:c r="J111" s="20">
        <x:f t="shared" si="20"/>
        <x:v>0</x:v>
      </x:c>
      <x:c r="K111" s="20" t="n">
        <x:f>$B$5+SUM($E$31:E111)</x:f>
        <x:v>50500</x:v>
      </x:c>
      <x:c r="L111" s="20">
        <x:f t="shared" si="21"/>
        <x:v>94717.671284977274</x:v>
      </x:c>
    </x:row>
    <x:row r="112">
      <x:c r="A112">
        <x:f t="shared" si="11"/>
        <x:v>82</x:v>
      </x:c>
      <x:c r="B112" s="8">
        <x:f t="shared" si="12"/>
        <x:v>48761</x:v>
      </x:c>
      <x:c r="C112" s="20">
        <x:f t="shared" si="13"/>
        <x:v>138.17540224200761</x:v>
      </x:c>
      <x:c r="D112" s="9">
        <x:f t="shared" si="14"/>
        <x:v>688.23061432859186</x:v>
      </x:c>
      <x:c r="E112" s="20">
        <x:f t="shared" si="15"/>
        <x:v>500</x:v>
      </x:c>
      <x:c r="F112" s="9">
        <x:f t="shared" si="16"/>
        <x:v>3.6185890678593715</x:v>
      </x:c>
      <x:c r="G112" s="20">
        <x:f t="shared" si="17"/>
        <x:v>764.77233576093749</x:v>
      </x:c>
      <x:c r="H112" s="9">
        <x:f t="shared" si="18"/>
        <x:v>5.5347936271716103</x:v>
      </x:c>
      <x:c r="I112" s="9">
        <x:f t="shared" si="19"/>
        <x:v>697.3839970236229</x:v>
      </x:c>
      <x:c r="J112" s="20">
        <x:f t="shared" si="20"/>
        <x:v>0</x:v>
      </x:c>
      <x:c r="K112" s="20" t="n">
        <x:f>$B$5+SUM($E$31:E112)</x:f>
        <x:v>51000</x:v>
      </x:c>
      <x:c r="L112" s="20">
        <x:f t="shared" si="21"/>
        <x:v>96361.314305878128</x:v>
      </x:c>
    </x:row>
    <x:row r="113">
      <x:c r="A113">
        <x:f t="shared" si="11"/>
        <x:v>83</x:v>
      </x:c>
      <x:c r="B113" s="8">
        <x:f t="shared" si="12"/>
        <x:v>48792</x:v>
      </x:c>
      <x:c r="C113" s="20">
        <x:f t="shared" si="13"/>
        <x:v>138.72810385097566</x:v>
      </x:c>
      <x:c r="D113" s="9">
        <x:f t="shared" si="14"/>
        <x:v>697.3839970236229</x:v>
      </x:c>
      <x:c r="E113" s="20">
        <x:f t="shared" si="15"/>
        <x:v>500</x:v>
      </x:c>
      <x:c r="F113" s="9">
        <x:f t="shared" si="16"/>
        <x:v>3.6041723783459867</x:v>
      </x:c>
      <x:c r="G113" s="20">
        <x:f t="shared" si="17"/>
        <x:v>777.9740765048133</x:v>
      </x:c>
      <x:c r="H113" s="9">
        <x:f t="shared" si="18"/>
        <x:v>5.6079053552157516</x:v>
      </x:c>
      <x:c r="I113" s="9">
        <x:f t="shared" si="19"/>
        <x:v>706.59607475718462</x:v>
      </x:c>
      <x:c r="J113" s="20">
        <x:f t="shared" si="20"/>
        <x:v>0</x:v>
      </x:c>
      <x:c r="K113" s="20" t="n">
        <x:f>$B$5+SUM($E$31:E113)</x:f>
        <x:v>51500</x:v>
      </x:c>
      <x:c r="L113" s="20">
        <x:f t="shared" si="21"/>
        <x:v>98024.733639606464</x:v>
      </x:c>
    </x:row>
    <x:row r="114">
      <x:c r="A114">
        <x:f t="shared" si="11"/>
        <x:v>84</x:v>
      </x:c>
      <x:c r="B114" s="8">
        <x:f t="shared" si="12"/>
        <x:v>48823</x:v>
      </x:c>
      <x:c r="C114" s="20">
        <x:f t="shared" si="13"/>
        <x:v>139.28301626637955</x:v>
      </x:c>
      <x:c r="D114" s="9">
        <x:f t="shared" si="14"/>
        <x:v>706.59607475718462</x:v>
      </x:c>
      <x:c r="E114" s="20">
        <x:f t="shared" si="15"/>
        <x:v>500</x:v>
      </x:c>
      <x:c r="F114" s="9">
        <x:f t="shared" si="16"/>
        <x:v>3.5898131258426167</x:v>
      </x:c>
      <x:c r="G114" s="20">
        <x:f t="shared" si="17"/>
        <x:v>791.33466059331909</x:v>
      </x:c>
      <x:c r="H114" s="9">
        <x:f t="shared" si="18"/>
        <x:v>5.6814871030642182</x:v>
      </x:c>
      <x:c r="I114" s="9">
        <x:f t="shared" si="19"/>
        <x:v>715.86737498609148</x:v>
      </x:c>
      <x:c r="J114" s="20">
        <x:f t="shared" si="20"/>
        <x:v>0</x:v>
      </x:c>
      <x:c r="K114" s="20" t="n">
        <x:f>$B$5+SUM($E$31:E114)</x:f>
        <x:v>52000</x:v>
      </x:c>
      <x:c r="L114" s="20">
        <x:f t="shared" si="21"/>
        <x:v>99708.167234758206</x:v>
      </x:c>
    </x:row>
    <x:row r="115">
      <x:c r="A115">
        <x:f t="shared" si="11"/>
        <x:v>85</x:v>
      </x:c>
      <x:c r="B115" s="8">
        <x:f t="shared" si="12"/>
        <x:v>48853</x:v>
      </x:c>
      <x:c r="C115" s="20">
        <x:f t="shared" si="13"/>
        <x:v>139.84014833144508</x:v>
      </x:c>
      <x:c r="D115" s="9">
        <x:f t="shared" si="14"/>
        <x:v>715.86737498609148</x:v>
      </x:c>
      <x:c r="E115" s="20">
        <x:f t="shared" si="15"/>
        <x:v>500</x:v>
      </x:c>
      <x:c r="F115" s="9">
        <x:f t="shared" si="16"/>
        <x:v>3.5755110815165501</x:v>
      </x:c>
      <x:c r="G115" s="20">
        <x:f t="shared" si="17"/>
        <x:v>804.85599922957795</x:v>
      </x:c>
      <x:c r="H115" s="9">
        <x:f t="shared" si="18"/>
        <x:v>5.7555430885408638</x:v>
      </x:c>
      <x:c r="I115" s="9">
        <x:f t="shared" si="19"/>
        <x:v>725.1984291561489</x:v>
      </x:c>
      <x:c r="J115" s="20">
        <x:f t="shared" si="20"/>
        <x:v>0</x:v>
      </x:c>
      <x:c r="K115" s="20" t="n">
        <x:f>$B$5+SUM($E$31:E115)</x:f>
        <x:v>52500</x:v>
      </x:c>
      <x:c r="L115" s="20">
        <x:f t="shared" si="21"/>
        <x:v>101411.85590292682</x:v>
      </x:c>
    </x:row>
    <x:row r="116">
      <x:c r="A116">
        <x:f t="shared" si="11"/>
        <x:v>86</x:v>
      </x:c>
      <x:c r="B116" s="8">
        <x:f t="shared" si="12"/>
        <x:v>48884</x:v>
      </x:c>
      <x:c r="C116" s="20">
        <x:f t="shared" si="13"/>
        <x:v>140.39950892477086</x:v>
      </x:c>
      <x:c r="D116" s="9">
        <x:f t="shared" si="14"/>
        <x:v>725.1984291561489</x:v>
      </x:c>
      <x:c r="E116" s="20">
        <x:f t="shared" si="15"/>
        <x:v>500</x:v>
      </x:c>
      <x:c r="F116" s="9">
        <x:f t="shared" si="16"/>
        <x:v>3.5612660174467634</x:v>
      </x:c>
      <x:c r="G116" s="20">
        <x:f t="shared" si="17"/>
        <x:v>818.54002661230822</x:v>
      </x:c>
      <x:c r="H116" s="9">
        <x:f t="shared" si="18"/>
        <x:v>5.830077561388765</x:v>
      </x:c>
      <x:c r="I116" s="9">
        <x:f t="shared" si="19"/>
        <x:v>734.58977273498442</x:v>
      </x:c>
      <x:c r="J116" s="20">
        <x:f t="shared" si="20"/>
        <x:v>0</x:v>
      </x:c>
      <x:c r="K116" s="20" t="n">
        <x:f>$B$5+SUM($E$31:E116)</x:f>
        <x:v>53000</x:v>
      </x:c>
      <x:c r="L116" s="20">
        <x:f t="shared" si="21"/>
        <x:v>103136.04335315085</x:v>
      </x:c>
    </x:row>
    <x:row r="117">
      <x:c r="A117">
        <x:f t="shared" si="11"/>
        <x:v>87</x:v>
      </x:c>
      <x:c r="B117" s="8">
        <x:f t="shared" si="12"/>
        <x:v>48914</x:v>
      </x:c>
      <x:c r="C117" s="20">
        <x:f t="shared" si="13"/>
        <x:v>140.96110696046992</x:v>
      </x:c>
      <x:c r="D117" s="9">
        <x:f t="shared" si="14"/>
        <x:v>734.58977273498442</x:v>
      </x:c>
      <x:c r="E117" s="20">
        <x:f t="shared" si="15"/>
        <x:v>500</x:v>
      </x:c>
      <x:c r="F117" s="9">
        <x:f t="shared" si="16"/>
        <x:v>3.5470777066202825</x:v>
      </x:c>
      <x:c r="G117" s="20">
        <x:f t="shared" si="17"/>
        <x:v>832.38870021250739</x:v>
      </x:c>
      <x:c r="H117" s="9">
        <x:f t="shared" si="18"/>
        <x:v>5.9050948035328377</x:v>
      </x:c>
      <x:c r="I117" s="9">
        <x:f t="shared" si="19"/>
        <x:v>744.04194524513753</x:v>
      </x:c>
      <x:c r="J117" s="20">
        <x:f t="shared" si="20"/>
        <x:v>0</x:v>
      </x:c>
      <x:c r="K117" s="20" t="n">
        <x:f>$B$5+SUM($E$31:E117)</x:f>
        <x:v>53500</x:v>
      </x:c>
      <x:c r="L117" s="20">
        <x:f t="shared" si="21"/>
        <x:v>104880.97622677594</x:v>
      </x:c>
    </x:row>
    <x:row r="118">
      <x:c r="A118">
        <x:f t="shared" si="11"/>
        <x:v>88</x:v>
      </x:c>
      <x:c r="B118" s="8">
        <x:f t="shared" si="12"/>
        <x:v>48945</x:v>
      </x:c>
      <x:c r="C118" s="20">
        <x:f t="shared" si="13"/>
        <x:v>141.52495138831179</x:v>
      </x:c>
      <x:c r="D118" s="9">
        <x:f t="shared" si="14"/>
        <x:v>744.04194524513753</x:v>
      </x:c>
      <x:c r="E118" s="20">
        <x:f t="shared" si="15"/>
        <x:v>500</x:v>
      </x:c>
      <x:c r="F118" s="9">
        <x:f t="shared" si="16"/>
        <x:v>3.5329459229285685</x:v>
      </x:c>
      <x:c r="G118" s="20">
        <x:f t="shared" si="17"/>
        <x:v>846.4040010534643</x:v>
      </x:c>
      <x:c r="H118" s="9">
        <x:f t="shared" si="18"/>
        <x:v>5.9805991293445286</x:v>
      </x:c>
      <x:c r="I118" s="9">
        <x:f t="shared" si="19"/>
        <x:v>753.55549029741064</x:v>
      </x:c>
      <x:c r="J118" s="20">
        <x:f t="shared" si="20"/>
        <x:v>0</x:v>
      </x:c>
      <x:c r="K118" s="20" t="n">
        <x:f>$B$5+SUM($E$31:E118)</x:f>
        <x:v>54000</x:v>
      </x:c>
      <x:c r="L118" s="20">
        <x:f t="shared" si="21"/>
        <x:v>106646.9041327365</x:v>
      </x:c>
    </x:row>
    <x:row r="119">
      <x:c r="A119">
        <x:f t="shared" si="11"/>
        <x:v>89</x:v>
      </x:c>
      <x:c r="B119" s="8">
        <x:f t="shared" si="12"/>
        <x:v>48976</x:v>
      </x:c>
      <x:c r="C119" s="20">
        <x:f t="shared" si="13"/>
        <x:v>142.09105119386507</x:v>
      </x:c>
      <x:c r="D119" s="9">
        <x:f t="shared" si="14"/>
        <x:v>753.55549029741064</x:v>
      </x:c>
      <x:c r="E119" s="20">
        <x:f t="shared" si="15"/>
        <x:v>500</x:v>
      </x:c>
      <x:c r="F119" s="9">
        <x:f t="shared" si="16"/>
        <x:v>3.5188704411639122</x:v>
      </x:c>
      <x:c r="G119" s="20">
        <x:f t="shared" si="17"/>
        <x:v>860.5879339941398</x:v>
      </x:c>
      <x:c r="H119" s="9">
        <x:f t="shared" si="18"/>
        <x:v>6.0565948859085967</x:v>
      </x:c>
      <x:c r="I119" s="9">
        <x:f t="shared" si="19"/>
        <x:v>763.13095562448314</x:v>
      </x:c>
      <x:c r="J119" s="20">
        <x:f t="shared" si="20"/>
        <x:v>0</x:v>
      </x:c>
      <x:c r="K119" s="20" t="n">
        <x:f>$B$5+SUM($E$31:E119)</x:f>
        <x:v>54500</x:v>
      </x:c>
      <x:c r="L119" s="20">
        <x:f t="shared" si="21"/>
        <x:v>108434.0796832616</x:v>
      </x:c>
    </x:row>
    <x:row r="120">
      <x:c r="A120">
        <x:f t="shared" si="11"/>
        <x:v>90</x:v>
      </x:c>
      <x:c r="B120" s="8">
        <x:f t="shared" si="12"/>
        <x:v>49004</x:v>
      </x:c>
      <x:c r="C120" s="20">
        <x:f t="shared" si="13"/>
        <x:v>142.65941539864053</x:v>
      </x:c>
      <x:c r="D120" s="9">
        <x:f t="shared" si="14"/>
        <x:v>763.13095562448314</x:v>
      </x:c>
      <x:c r="E120" s="20">
        <x:f t="shared" si="15"/>
        <x:v>500</x:v>
      </x:c>
      <x:c r="F120" s="9">
        <x:f t="shared" si="16"/>
        <x:v>3.5048510370158485</x:v>
      </x:c>
      <x:c r="G120" s="20">
        <x:f t="shared" si="17"/>
        <x:v>874.94252801595735</x:v>
      </x:c>
      <x:c r="H120" s="9">
        <x:f t="shared" si="18"/>
        <x:v>6.1330864532919929</x:v>
      </x:c>
      <x:c r="I120" s="9">
        <x:f t="shared" si="19"/>
        <x:v>772.76889311479101</x:v>
      </x:c>
      <x:c r="J120" s="20">
        <x:f t="shared" si="20"/>
        <x:v>0</x:v>
      </x:c>
      <x:c r="K120" s="20" t="n">
        <x:f>$B$5+SUM($E$31:E120)</x:f>
        <x:v>55000</x:v>
      </x:c>
      <x:c r="L120" s="20">
        <x:f t="shared" si="21"/>
        <x:v>110242.75853001061</x:v>
      </x:c>
    </x:row>
    <x:row r="121">
      <x:c r="A121">
        <x:f t="shared" si="11"/>
        <x:v>91</x:v>
      </x:c>
      <x:c r="B121" s="8">
        <x:f t="shared" si="12"/>
        <x:v>49035</x:v>
      </x:c>
      <x:c r="C121" s="20">
        <x:f t="shared" si="13"/>
        <x:v>143.23005306023509</x:v>
      </x:c>
      <x:c r="D121" s="9">
        <x:f t="shared" si="14"/>
        <x:v>772.76889311479101</x:v>
      </x:c>
      <x:c r="E121" s="20">
        <x:f t="shared" si="15"/>
        <x:v>500</x:v>
      </x:c>
      <x:c r="F121" s="9">
        <x:f t="shared" si="16"/>
        <x:v>3.4908874870675786</x:v>
      </x:c>
      <x:c r="G121" s="20">
        <x:f t="shared" si="17"/>
        <x:v>889.46983651304527</x:v>
      </x:c>
      <x:c r="H121" s="9">
        <x:f t="shared" si="18"/>
        <x:v>6.210078244814869</x:v>
      </x:c>
      <x:c r="I121" s="9">
        <x:f t="shared" si="19"/>
        <x:v>782.46985884667345</x:v>
      </x:c>
      <x:c r="J121" s="20">
        <x:f t="shared" si="20"/>
        <x:v>0</x:v>
      </x:c>
      <x:c r="K121" s="20" t="n">
        <x:f>$B$5+SUM($E$31:E121)</x:f>
        <x:v>55500</x:v>
      </x:c>
      <x:c r="L121" s="20">
        <x:f t="shared" si="21"/>
        <x:v>112073.1994006437</x:v>
      </x:c>
    </x:row>
    <x:row r="122">
      <x:c r="A122">
        <x:f t="shared" si="11"/>
        <x:v>92</x:v>
      </x:c>
      <x:c r="B122" s="8">
        <x:f t="shared" si="12"/>
        <x:v>49065</x:v>
      </x:c>
      <x:c r="C122" s="20">
        <x:f t="shared" si="13"/>
        <x:v>143.80297327247604</x:v>
      </x:c>
      <x:c r="D122" s="9">
        <x:f t="shared" si="14"/>
        <x:v>782.46985884667345</x:v>
      </x:c>
      <x:c r="E122" s="20">
        <x:f t="shared" si="15"/>
        <x:v>500</x:v>
      </x:c>
      <x:c r="F122" s="9">
        <x:f t="shared" si="16"/>
        <x:v>3.4769795687924088</x:v>
      </x:c>
      <x:c r="G122" s="20">
        <x:f t="shared" si="17"/>
        <x:v>904.17193758597034</x:v>
      </x:c>
      <x:c r="H122" s="9">
        <x:f t="shared" si="18"/>
        <x:v>6.2875747073237278</x:v>
      </x:c>
      <x:c r="I122" s="9">
        <x:f t="shared" si="19"/>
        <x:v>792.23441312278965</x:v>
      </x:c>
      <x:c r="J122" s="20">
        <x:f t="shared" si="20"/>
        <x:v>0</x:v>
      </x:c>
      <x:c r="K122" s="20" t="n">
        <x:f>$B$5+SUM($E$31:E122)</x:f>
        <x:v>56000</x:v>
      </x:c>
      <x:c r="L122" s="20">
        <x:f t="shared" si="21"/>
        <x:v>113925.66413583225</x:v>
      </x:c>
    </x:row>
    <x:row r="123">
      <x:c r="A123">
        <x:f t="shared" si="11"/>
        <x:v>93</x:v>
      </x:c>
      <x:c r="B123" s="8">
        <x:f t="shared" si="12"/>
        <x:v>49096</x:v>
      </x:c>
      <x:c r="C123" s="20">
        <x:f t="shared" si="13"/>
        <x:v>144.37818516556598</x:v>
      </x:c>
      <x:c r="D123" s="9">
        <x:f t="shared" si="14"/>
        <x:v>792.23441312278965</x:v>
      </x:c>
      <x:c r="E123" s="20">
        <x:f t="shared" si="15"/>
        <x:v>500</x:v>
      </x:c>
      <x:c r="F123" s="9">
        <x:f t="shared" si="16"/>
        <x:v>3.4631270605502067</x:v>
      </x:c>
      <x:c r="G123" s="20">
        <x:f t="shared" si="17"/>
        <x:v>919.05093433900493</x:v>
      </x:c>
      <x:c r="H123" s="9">
        <x:f t="shared" si="18"/>
        <x:v>6.3655803214667186</x:v>
      </x:c>
      <x:c r="I123" s="9">
        <x:f t="shared" si="19"/>
        <x:v>802.06312050480653</x:v>
      </x:c>
      <x:c r="J123" s="20">
        <x:f t="shared" si="20"/>
        <x:v>0</x:v>
      </x:c>
      <x:c r="K123" s="20" t="n">
        <x:f>$B$5+SUM($E$31:E123)</x:f>
        <x:v>56500</x:v>
      </x:c>
      <x:c r="L123" s="20">
        <x:f t="shared" si="21"/>
        <x:v>115800.41772671462</x:v>
      </x:c>
    </x:row>
    <x:row r="124">
      <x:c r="A124">
        <x:f t="shared" si="11"/>
        <x:v>94</x:v>
      </x:c>
      <x:c r="B124" s="8">
        <x:f t="shared" si="12"/>
        <x:v>49126</x:v>
      </x:c>
      <x:c r="C124" s="20">
        <x:f t="shared" si="13"/>
        <x:v>144.95569790622821</x:v>
      </x:c>
      <x:c r="D124" s="9">
        <x:f t="shared" si="14"/>
        <x:v>802.06312050480653</x:v>
      </x:c>
      <x:c r="E124" s="20">
        <x:f t="shared" si="15"/>
        <x:v>500</x:v>
      </x:c>
      <x:c r="F124" s="9">
        <x:f t="shared" si="16"/>
        <x:v>3.4493297415838722</x:v>
      </x:c>
      <x:c r="G124" s="20">
        <x:f t="shared" si="17"/>
        <x:v>934.10895518097152</x:v>
      </x:c>
      <x:c r="H124" s="9">
        <x:f t="shared" si="18"/>
        <x:v>6.4440996019711232</x:v>
      </x:c>
      <x:c r="I124" s="9">
        <x:f t="shared" si="19"/>
        <x:v>811.95654984836153</x:v>
      </x:c>
      <x:c r="J124" s="20">
        <x:f t="shared" si="20"/>
        <x:v>0</x:v>
      </x:c>
      <x:c r="K124" s="20" t="n">
        <x:f>$B$5+SUM($E$31:E124)</x:f>
        <x:v>57000</x:v>
      </x:c>
      <x:c r="L124" s="20">
        <x:f t="shared" si="21"/>
        <x:v>117697.72835280243</x:v>
      </x:c>
    </x:row>
    <x:row r="125">
      <x:c r="A125">
        <x:f t="shared" si="11"/>
        <x:v>95</x:v>
      </x:c>
      <x:c r="B125" s="8">
        <x:f t="shared" si="12"/>
        <x:v>49157</x:v>
      </x:c>
      <x:c r="C125" s="20">
        <x:f t="shared" si="13"/>
        <x:v>145.53552069785314</x:v>
      </x:c>
      <x:c r="D125" s="9">
        <x:f t="shared" si="14"/>
        <x:v>811.95654984836153</x:v>
      </x:c>
      <x:c r="E125" s="20">
        <x:f t="shared" si="15"/>
        <x:v>500</x:v>
      </x:c>
      <x:c r="F125" s="9">
        <x:f t="shared" si="16"/>
        <x:v>3.4355873920158086</x:v>
      </x:c>
      <x:c r="G125" s="20">
        <x:f t="shared" si="17"/>
        <x:v>949.3481541297092</x:v>
      </x:c>
      <x:c r="H125" s="9">
        <x:f t="shared" si="18"/>
        <x:v>6.5231370979230192</x:v>
      </x:c>
      <x:c r="I125" s="9">
        <x:f t="shared" si="19"/>
        <x:v>821.91527433830038</x:v>
      </x:c>
      <x:c r="J125" s="20">
        <x:f t="shared" si="20"/>
        <x:v>0</x:v>
      </x:c>
      <x:c r="K125" s="20" t="n">
        <x:f>$B$5+SUM($E$31:E125)</x:f>
        <x:v>57500</x:v>
      </x:c>
      <x:c r="L125" s="20">
        <x:f t="shared" si="21"/>
        <x:v>119617.86742034336</x:v>
      </x:c>
    </x:row>
    <x:row r="126">
      <x:c r="A126">
        <x:f t="shared" si="11"/>
        <x:v>96</x:v>
      </x:c>
      <x:c r="B126" s="8">
        <x:f t="shared" si="12"/>
        <x:v>49188</x:v>
      </x:c>
      <x:c r="C126" s="20">
        <x:f t="shared" si="13"/>
        <x:v>146.11766278064454</x:v>
      </x:c>
      <x:c r="D126" s="9">
        <x:f t="shared" si="14"/>
        <x:v>821.91527433830038</x:v>
      </x:c>
      <x:c r="E126" s="20">
        <x:f t="shared" si="15"/>
        <x:v>500</x:v>
      </x:c>
      <x:c r="F126" s="9">
        <x:f t="shared" si="16"/>
        <x:v>3.4218997928444312</x:v>
      </x:c>
      <x:c r="G126" s="20">
        <x:f t="shared" si="17"/>
        <x:v>964.7707111201978</x:v>
      </x:c>
      <x:c r="H126" s="9">
        <x:f t="shared" si="18"/>
        <x:v>6.6026973930491586</x:v>
      </x:c>
      <x:c r="I126" s="9">
        <x:f t="shared" si="19"/>
        <x:v>831.93987152419402</x:v>
      </x:c>
      <x:c r="J126" s="20">
        <x:f t="shared" si="20"/>
        <x:v>0</x:v>
      </x:c>
      <x:c r="K126" s="20" t="n">
        <x:f>$B$5+SUM($E$31:E126)</x:f>
        <x:v>58000</x:v>
      </x:c>
      <x:c r="L126" s="20">
        <x:f t="shared" si="21"/>
        <x:v>121561.10960114493</x:v>
      </x:c>
    </x:row>
    <x:row r="127">
      <x:c r="A127">
        <x:f t="shared" si="11"/>
        <x:v>97</x:v>
      </x:c>
      <x:c r="B127" s="8">
        <x:f t="shared" si="12"/>
        <x:v>49218</x:v>
      </x:c>
      <x:c r="C127" s="20">
        <x:f t="shared" si="13"/>
        <x:v>146.70213343176712</x:v>
      </x:c>
      <x:c r="D127" s="9">
        <x:f t="shared" si="14"/>
        <x:v>831.93987152419402</x:v>
      </x:c>
      <x:c r="E127" s="20">
        <x:f t="shared" si="15"/>
        <x:v>500</x:v>
      </x:c>
      <x:c r="F127" s="9">
        <x:f t="shared" si="16"/>
        <x:v>3.4082667259406683</x:v>
      </x:c>
      <x:c r="G127" s="20">
        <x:f t="shared" si="17"/>
        <x:v>980.37883231639603</x:v>
      </x:c>
      <x:c r="H127" s="9">
        <x:f t="shared" si="18"/>
        <x:v>6.6827851060010772</x:v>
      </x:c>
      <x:c r="I127" s="9">
        <x:f t="shared" si="19"/>
        <x:v>842.03092335613576</x:v>
      </x:c>
      <x:c r="J127" s="20">
        <x:f t="shared" si="20"/>
        <x:v>0</x:v>
      </x:c>
      <x:c r="K127" s="20" t="n">
        <x:f>$B$5+SUM($E$31:E127)</x:f>
        <x:v>58500</x:v>
      </x:c>
      <x:c r="L127" s="20">
        <x:f t="shared" si="21"/>
        <x:v>123527.7328718659</x:v>
      </x:c>
    </x:row>
    <x:row r="128">
      <x:c r="A128">
        <x:f t="shared" si="11"/>
        <x:v>98</x:v>
      </x:c>
      <x:c r="B128" s="8">
        <x:f t="shared" si="12"/>
        <x:v>49249</x:v>
      </x:c>
      <x:c r="C128" s="20">
        <x:f t="shared" si="13"/>
        <x:v>147.28894196549419</x:v>
      </x:c>
      <x:c r="D128" s="9">
        <x:f t="shared" si="14"/>
        <x:v>842.03092335613576</x:v>
      </x:c>
      <x:c r="E128" s="20">
        <x:f t="shared" si="15"/>
        <x:v>500</x:v>
      </x:c>
      <x:c r="F128" s="9">
        <x:f t="shared" si="16"/>
        <x:v>3.3946879740444906</x:v>
      </x:c>
      <x:c r="G128" s="20">
        <x:f t="shared" si="17"/>
        <x:v>996.1747504268269</x:v>
      </x:c>
      <x:c r="H128" s="9">
        <x:f t="shared" si="18"/>
        <x:v>6.7634048906414419</x:v>
      </x:c>
      <x:c r="I128" s="9">
        <x:f t="shared" si="19"/>
        <x:v>852.18901622082171</x:v>
      </x:c>
      <x:c r="J128" s="20">
        <x:f t="shared" si="20"/>
        <x:v>0</x:v>
      </x:c>
      <x:c r="K128" s="20" t="n">
        <x:f>$B$5+SUM($E$31:E128)</x:f>
        <x:v>59000</x:v>
      </x:c>
      <x:c r="L128" s="20">
        <x:f t="shared" si="21"/>
        <x:v>125518.01855378019</x:v>
      </x:c>
    </x:row>
    <x:row r="129">
      <x:c r="A129">
        <x:f t="shared" si="11"/>
        <x:v>99</x:v>
      </x:c>
      <x:c r="B129" s="8">
        <x:f t="shared" si="12"/>
        <x:v>49279</x:v>
      </x:c>
      <x:c r="C129" s="20">
        <x:f t="shared" si="13"/>
        <x:v>147.87809773335619</x:v>
      </x:c>
      <x:c r="D129" s="9">
        <x:f t="shared" si="14"/>
        <x:v>852.18901622082171</x:v>
      </x:c>
      <x:c r="E129" s="20">
        <x:f t="shared" si="15"/>
        <x:v>500</x:v>
      </x:c>
      <x:c r="F129" s="9">
        <x:f t="shared" si="16"/>
        <x:v>3.3811633207614444</x:v>
      </x:c>
      <x:c r="G129" s="20">
        <x:f t="shared" si="17"/>
        <x:v>1012.1607250239625</x:v>
      </x:c>
      <x:c r="H129" s="9">
        <x:f t="shared" si="18"/>
        <x:v>6.8445614363326648</x:v>
      </x:c>
      <x:c r="I129" s="9">
        <x:f t="shared" si="19"/>
        <x:v>862.41474097791581</x:v>
      </x:c>
      <x:c r="J129" s="20">
        <x:f t="shared" si="20"/>
        <x:v>0</x:v>
      </x:c>
      <x:c r="K129" s="20" t="n">
        <x:f>$B$5+SUM($E$31:E129)</x:f>
        <x:v>59500</x:v>
      </x:c>
      <x:c r="L129" s="20">
        <x:f t="shared" si="21"/>
        <x:v>127532.2513530193</x:v>
      </x:c>
    </x:row>
    <x:row r="130">
      <x:c r="A130">
        <x:f t="shared" si="11"/>
        <x:v>100</x:v>
      </x:c>
      <x:c r="B130" s="8">
        <x:f t="shared" si="12"/>
        <x:v>49310</x:v>
      </x:c>
      <x:c r="C130" s="20">
        <x:f t="shared" si="13"/>
        <x:v>148.4696101242896</x:v>
      </x:c>
      <x:c r="D130" s="9">
        <x:f t="shared" si="14"/>
        <x:v>862.41474097791581</x:v>
      </x:c>
      <x:c r="E130" s="20">
        <x:f t="shared" si="15"/>
        <x:v>500</x:v>
      </x:c>
      <x:c r="F130" s="9">
        <x:f t="shared" si="16"/>
        <x:v>3.3676925505592075</x:v>
      </x:c>
      <x:c r="G130" s="20">
        <x:f t="shared" si="17"/>
        <x:v>1028.3390428674511</x:v>
      </x:c>
      <x:c r="H130" s="9">
        <x:f t="shared" si="18"/>
        <x:v>6.9262594682278014</x:v>
      </x:c>
      <x:c r="I130" s="9">
        <x:f t="shared" si="19"/>
        <x:v>872.70869299670289</x:v>
      </x:c>
      <x:c r="J130" s="20">
        <x:f t="shared" si="20"/>
        <x:v>0</x:v>
      </x:c>
      <x:c r="K130" s="20" t="n">
        <x:f>$B$5+SUM($E$31:E130)</x:f>
        <x:v>60000</x:v>
      </x:c>
      <x:c r="L130" s="20">
        <x:f t="shared" si="21"/>
        <x:v>129570.71940129883</x:v>
      </x:c>
    </x:row>
    <x:row r="131">
      <x:c r="A131">
        <x:f t="shared" si="11"/>
        <x:v>101</x:v>
      </x:c>
      <x:c r="B131" s="8">
        <x:f t="shared" si="12"/>
        <x:v>49341</x:v>
      </x:c>
      <x:c r="C131" s="20">
        <x:f t="shared" si="13"/>
        <x:v>149.06348856478678</x:v>
      </x:c>
      <x:c r="D131" s="9">
        <x:f t="shared" si="14"/>
        <x:v>872.70869299670289</x:v>
      </x:c>
      <x:c r="E131" s="20">
        <x:f t="shared" si="15"/>
        <x:v>500</x:v>
      </x:c>
      <x:c r="F131" s="9">
        <x:f t="shared" si="16"/>
        <x:v>3.3542754487641506</x:v>
      </x:c>
      <x:c r="G131" s="20">
        <x:f t="shared" si="17"/>
        <x:v>1044.7120182312324</x:v>
      </x:c>
      <x:c r="H131" s="9">
        <x:f t="shared" si="18"/>
        <x:v>7.0085037475637364</x:v>
      </x:c>
      <x:c r="I131" s="9">
        <x:f t="shared" si="19"/>
        <x:v>883.07147219303079</x:v>
      </x:c>
      <x:c r="J131" s="20">
        <x:f t="shared" si="20"/>
        <x:v>0</x:v>
      </x:c>
      <x:c r="K131" s="20" t="n">
        <x:f>$B$5+SUM($E$31:E131)</x:f>
        <x:v>60500</x:v>
      </x:c>
      <x:c r="L131" s="20">
        <x:f t="shared" si="21"/>
        <x:v>131633.71429713527</x:v>
      </x:c>
    </x:row>
    <x:row r="132">
      <x:c r="A132">
        <x:f t="shared" si="11"/>
        <x:v>102</x:v>
      </x:c>
      <x:c r="B132" s="8">
        <x:f t="shared" si="12"/>
        <x:v>49369</x:v>
      </x:c>
      <x:c r="C132" s="20">
        <x:f t="shared" si="13"/>
        <x:v>149.65974251904592</x:v>
      </x:c>
      <x:c r="D132" s="9">
        <x:f t="shared" si="14"/>
        <x:v>883.07147219303079</x:v>
      </x:c>
      <x:c r="E132" s="20">
        <x:f t="shared" si="15"/>
        <x:v>500</x:v>
      </x:c>
      <x:c r="F132" s="9">
        <x:f t="shared" si="16"/>
        <x:v>3.3409118015579189</x:v>
      </x:c>
      <x:c r="G132" s="20">
        <x:f t="shared" si="17"/>
        <x:v>1061.2819932345903</x:v>
      </x:c>
      <x:c r="H132" s="9">
        <x:f t="shared" si="18"/>
        <x:v>7.0912990719567093</x:v>
      </x:c>
      <x:c r="I132" s="9">
        <x:f t="shared" si="19"/>
        <x:v>893.50368306654536</x:v>
      </x:c>
      <x:c r="J132" s="20">
        <x:f t="shared" si="20"/>
        <x:v>0</x:v>
      </x:c>
      <x:c r="K132" s="20" t="n">
        <x:f>$B$5+SUM($E$31:E132)</x:f>
        <x:v>61000</x:v>
      </x:c>
      <x:c r="L132" s="20">
        <x:f t="shared" si="21"/>
        <x:v>133721.53114755839</x:v>
      </x:c>
    </x:row>
    <x:row r="133">
      <x:c r="A133">
        <x:f t="shared" si="11"/>
        <x:v>103</x:v>
      </x:c>
      <x:c r="B133" s="8">
        <x:f t="shared" si="12"/>
        <x:v>49400</x:v>
      </x:c>
      <x:c r="C133" s="20">
        <x:f t="shared" si="13"/>
        <x:v>150.25838148912209</x:v>
      </x:c>
      <x:c r="D133" s="9">
        <x:f t="shared" si="14"/>
        <x:v>893.50368306654536</x:v>
      </x:c>
      <x:c r="E133" s="20">
        <x:f t="shared" si="15"/>
        <x:v>500</x:v>
      </x:c>
      <x:c r="F133" s="9">
        <x:f t="shared" si="16"/>
        <x:v>3.3276013959740234</x:v>
      </x:c>
      <x:c r="G133" s="20">
        <x:f t="shared" si="17"/>
        <x:v>1078.0513381771891</x:v>
      </x:c>
      <x:c r="H133" s="9">
        <x:f t="shared" si="18"/>
        <x:v>7.1746502757001567</x:v>
      </x:c>
      <x:c r="I133" s="9">
        <x:f t="shared" si="19"/>
        <x:v>904.00593473821959</x:v>
      </x:c>
      <x:c r="J133" s="20">
        <x:f t="shared" si="20"/>
        <x:v>0</x:v>
      </x:c>
      <x:c r="K133" s="20" t="n">
        <x:f>$B$5+SUM($E$31:E133)</x:f>
        <x:v>61500</x:v>
      </x:c>
      <x:c r="L133" s="20">
        <x:f t="shared" si="21"/>
        <x:v>135834.4686103258</x:v>
      </x:c>
    </x:row>
    <x:row r="134">
      <x:c r="A134">
        <x:f t="shared" si="11"/>
        <x:v>104</x:v>
      </x:c>
      <x:c r="B134" s="8">
        <x:f t="shared" si="12"/>
        <x:v>49430</x:v>
      </x:c>
      <x:c r="C134" s="20">
        <x:f t="shared" si="13"/>
        <x:v>150.85941501507858</x:v>
      </x:c>
      <x:c r="D134" s="9">
        <x:f t="shared" si="14"/>
        <x:v>904.00593473821959</x:v>
      </x:c>
      <x:c r="E134" s="20">
        <x:f t="shared" si="15"/>
        <x:v>500</x:v>
      </x:c>
      <x:c r="F134" s="9">
        <x:f t="shared" si="16"/>
        <x:v>3.3143440198944454</x:v>
      </x:c>
      <x:c r="G134" s="20">
        <x:f t="shared" si="17"/>
        <x:v>1095.022451878137</x:v>
      </x:c>
      <x:c r="H134" s="9">
        <x:f t="shared" si="18"/>
        <x:v>7.2585622300649124</x:v>
      </x:c>
      <x:c r="I134" s="9">
        <x:f t="shared" si="19"/>
        <x:v>914.57884098817897</x:v>
      </x:c>
      <x:c r="J134" s="20">
        <x:f t="shared" si="20"/>
        <x:v>0</x:v>
      </x:c>
      <x:c r="K134" s="20" t="n">
        <x:f>$B$5+SUM($E$31:E134)</x:f>
        <x:v>62000</x:v>
      </x:c>
      <x:c r="L134" s="20">
        <x:f t="shared" si="21"/>
        <x:v>137972.82893664527</x:v>
      </x:c>
    </x:row>
    <x:row r="135">
      <x:c r="A135">
        <x:f t="shared" si="11"/>
        <x:v>105</x:v>
      </x:c>
      <x:c r="B135" s="8">
        <x:f t="shared" si="12"/>
        <x:v>49461</x:v>
      </x:c>
      <x:c r="C135" s="20">
        <x:f t="shared" si="13"/>
        <x:v>151.46285267513892</x:v>
      </x:c>
      <x:c r="D135" s="9">
        <x:f t="shared" si="14"/>
        <x:v>914.57884098817897</x:v>
      </x:c>
      <x:c r="E135" s="20">
        <x:f t="shared" si="15"/>
        <x:v>500</x:v>
      </x:c>
      <x:c r="F135" s="9">
        <x:f t="shared" si="16"/>
        <x:v>3.30113946204626</x:v>
      </x:c>
      <x:c r="G135" s="20">
        <x:f t="shared" si="17"/>
        <x:v>1112.1977620191349</x:v>
      </x:c>
      <x:c r="H135" s="9">
        <x:f t="shared" si="18"/>
        <x:v>7.3430398436018018</x:v>
      </x:c>
      <x:c r="I135" s="9">
        <x:f t="shared" si="19"/>
        <x:v>925.22302029382706</x:v>
      </x:c>
      <x:c r="J135" s="20">
        <x:f t="shared" si="20"/>
        <x:v>0</x:v>
      </x:c>
      <x:c r="K135" s="20" t="n">
        <x:f>$B$5+SUM($E$31:E135)</x:f>
        <x:v>62500</x:v>
      </x:c>
      <x:c r="L135" s="20">
        <x:f t="shared" si="21"/>
        <x:v>140136.918014411</x:v>
      </x:c>
    </x:row>
    <x:row r="136">
      <x:c r="A136">
        <x:f t="shared" si="11"/>
        <x:v>106</x:v>
      </x:c>
      <x:c r="B136" s="8">
        <x:f t="shared" si="12"/>
        <x:v>49491</x:v>
      </x:c>
      <x:c r="C136" s="20">
        <x:f t="shared" si="13"/>
        <x:v>152.06870408583947</x:v>
      </x:c>
      <x:c r="D136" s="9">
        <x:f t="shared" si="14"/>
        <x:v>925.22302029382706</x:v>
      </x:c>
      <x:c r="E136" s="20">
        <x:f t="shared" si="15"/>
        <x:v>500</x:v>
      </x:c>
      <x:c r="F136" s="9">
        <x:f t="shared" si="16"/>
        <x:v>3.2879875119982667</x:v>
      </x:c>
      <x:c r="G136" s="20">
        <x:f t="shared" si="17"/>
        <x:v>1129.5797254917491</x:v>
      </x:c>
      <x:c r="H136" s="9">
        <x:f t="shared" si="18"/>
        <x:v>7.4280880624466024</x:v>
      </x:c>
      <x:c r="I136" s="9">
        <x:f t="shared" si="19"/>
        <x:v>935.93909586827192</x:v>
      </x:c>
      <x:c r="J136" s="20">
        <x:f t="shared" si="20"/>
        <x:v>0</x:v>
      </x:c>
      <x:c r="K136" s="20" t="n">
        <x:f>$B$5+SUM($E$31:E136)</x:f>
        <x:v>63000</x:v>
      </x:c>
      <x:c r="L136" s="20">
        <x:f t="shared" si="21"/>
        <x:v>142327.0454119604</x:v>
      </x:c>
    </x:row>
    <x:row r="137">
      <x:c r="A137">
        <x:f t="shared" si="11"/>
        <x:v>107</x:v>
      </x:c>
      <x:c r="B137" s="8">
        <x:f t="shared" si="12"/>
        <x:v>49522</x:v>
      </x:c>
      <x:c r="C137" s="20">
        <x:f t="shared" si="13"/>
        <x:v>152.67697890218284</x:v>
      </x:c>
      <x:c r="D137" s="9">
        <x:f t="shared" si="14"/>
        <x:v>935.93909586827192</x:v>
      </x:c>
      <x:c r="E137" s="20">
        <x:f t="shared" si="15"/>
        <x:v>500</x:v>
      </x:c>
      <x:c r="F137" s="9">
        <x:f t="shared" si="16"/>
        <x:v>3.2748879601576362</x:v>
      </x:c>
      <x:c r="G137" s="20">
        <x:f t="shared" si="17"/>
        <x:v>1147.1708287488659</x:v>
      </x:c>
      <x:c r="H137" s="9">
        <x:f t="shared" si="18"/>
        <x:v>7.5137118706274366</x:v>
      </x:c>
      <x:c r="I137" s="9">
        <x:f t="shared" si="19"/>
        <x:v>946.72769569905699</x:v>
      </x:c>
      <x:c r="J137" s="20">
        <x:f t="shared" si="20"/>
        <x:v>0</x:v>
      </x:c>
      <x:c r="K137" s="20" t="n">
        <x:f>$B$5+SUM($E$31:E137)</x:f>
        <x:v>63500</x:v>
      </x:c>
      <x:c r="L137" s="20">
        <x:f t="shared" si="21"/>
        <x:v>144543.52442235709</x:v>
      </x:c>
    </x:row>
    <x:row r="138">
      <x:c r="A138">
        <x:f t="shared" si="11"/>
        <x:v>108</x:v>
      </x:c>
      <x:c r="B138" s="8">
        <x:f t="shared" si="12"/>
        <x:v>49553</x:v>
      </x:c>
      <x:c r="C138" s="20">
        <x:f t="shared" si="13"/>
        <x:v>153.28768681779158</x:v>
      </x:c>
      <x:c r="D138" s="9">
        <x:f t="shared" si="14"/>
        <x:v>946.72769569905699</x:v>
      </x:c>
      <x:c r="E138" s="20">
        <x:f t="shared" si="15"/>
        <x:v>500</x:v>
      </x:c>
      <x:c r="F138" s="9">
        <x:f t="shared" si="16"/>
        <x:v>3.2618405977665694</x:v>
      </x:c>
      <x:c r="G138" s="20">
        <x:f t="shared" si="17"/>
        <x:v>1164.9735881603724</x:v>
      </x:c>
      <x:c r="H138" s="9">
        <x:f t="shared" si="18"/>
        <x:v>7.5999162903745887</x:v>
      </x:c>
      <x:c r="I138" s="9">
        <x:f t="shared" si="19"/>
        <x:v>957.58945258719814</x:v>
      </x:c>
      <x:c r="J138" s="20">
        <x:f t="shared" si="20"/>
        <x:v>0</x:v>
      </x:c>
      <x:c r="K138" s="20" t="n">
        <x:f>$B$5+SUM($E$31:E138)</x:f>
        <x:v>64000</x:v>
      </x:c>
      <x:c r="L138" s="20">
        <x:f t="shared" si="21"/>
        <x:v>146786.6721082069</x:v>
      </x:c>
    </x:row>
    <x:row r="139">
      <x:c r="A139">
        <x:f t="shared" si="11"/>
        <x:v>109</x:v>
      </x:c>
      <x:c r="B139" s="8">
        <x:f t="shared" si="12"/>
        <x:v>49583</x:v>
      </x:c>
      <x:c r="C139" s="20">
        <x:f t="shared" si="13"/>
        <x:v>153.90083756506274</x:v>
      </x:c>
      <x:c r="D139" s="9">
        <x:f t="shared" si="14"/>
        <x:v>957.58945258719814</x:v>
      </x:c>
      <x:c r="E139" s="20">
        <x:f t="shared" si="15"/>
        <x:v>500</x:v>
      </x:c>
      <x:c r="F139" s="9">
        <x:f t="shared" si="16"/>
        <x:v>3.2488452168989737</x:v>
      </x:c>
      <x:c r="G139" s="20">
        <x:f t="shared" si="17"/>
        <x:v>1182.9905503731179</x:v>
      </x:c>
      <x:c r="H139" s="9">
        <x:f t="shared" si="18"/>
        <x:v>7.686706382432777</x:v>
      </x:c>
      <x:c r="I139" s="9">
        <x:f t="shared" si="19"/>
        <x:v>968.52500418652994</x:v>
      </x:c>
      <x:c r="J139" s="20">
        <x:f t="shared" si="20"/>
        <x:v>0</x:v>
      </x:c>
      <x:c r="K139" s="20" t="n">
        <x:f>$B$5+SUM($E$31:E139)</x:f>
        <x:v>64500</x:v>
      </x:c>
      <x:c r="L139" s="20">
        <x:f t="shared" si="21"/>
        <x:v>149056.80934701287</x:v>
      </x:c>
    </x:row>
    <x:row r="140">
      <x:c r="A140">
        <x:f t="shared" si="11"/>
        <x:v>110</x:v>
      </x:c>
      <x:c r="B140" s="8">
        <x:f t="shared" si="12"/>
        <x:v>49614</x:v>
      </x:c>
      <x:c r="C140" s="20">
        <x:f t="shared" si="13"/>
        <x:v>154.51644091532296</x:v>
      </x:c>
      <x:c r="D140" s="9">
        <x:f t="shared" si="14"/>
        <x:v>968.52500418652994</x:v>
      </x:c>
      <x:c r="E140" s="20">
        <x:f t="shared" si="15"/>
        <x:v>500</x:v>
      </x:c>
      <x:c r="F140" s="9">
        <x:f t="shared" si="16"/>
        <x:v>3.2359016104571459</x:v>
      </x:c>
      <x:c r="G140" s="20">
        <x:f t="shared" si="17"/>
        <x:v>1201.2242926752072</x:v>
      </x:c>
      <x:c r="H140" s="9">
        <x:f t="shared" si="18"/>
        <x:v>7.7740872463758972</x:v>
      </x:c>
      <x:c r="I140" s="9">
        <x:f t="shared" si="19"/>
        <x:v>979.53499304336299</x:v>
      </x:c>
      <x:c r="J140" s="20">
        <x:f t="shared" si="20"/>
        <x:v>0</x:v>
      </x:c>
      <x:c r="K140" s="20" t="n">
        <x:f>$B$5+SUM($E$31:E140)</x:f>
        <x:v>65000</x:v>
      </x:c>
      <x:c r="L140" s="20">
        <x:f t="shared" si="21"/>
        <x:v>151354.26087707607</x:v>
      </x:c>
    </x:row>
    <x:row r="141">
      <x:c r="A141">
        <x:f t="shared" si="11"/>
        <x:v>111</x:v>
      </x:c>
      <x:c r="B141" s="8">
        <x:f t="shared" si="12"/>
        <x:v>49644</x:v>
      </x:c>
      <x:c r="C141" s="20">
        <x:f t="shared" si="13"/>
        <x:v>155.13450667898431</x:v>
      </x:c>
      <x:c r="D141" s="9">
        <x:f t="shared" si="14"/>
        <x:v>979.53499304336299</x:v>
      </x:c>
      <x:c r="E141" s="20">
        <x:f t="shared" si="15"/>
        <x:v>500</x:v>
      </x:c>
      <x:c r="F141" s="9">
        <x:f t="shared" si="16"/>
        <x:v>3.2230095721684711</x:v>
      </x:c>
      <x:c r="G141" s="20">
        <x:f t="shared" si="17"/>
        <x:v>1219.6774233646756</x:v>
      </x:c>
      <x:c r="H141" s="9">
        <x:f t="shared" si="18"/>
        <x:v>7.8620640209242518</x:v>
      </x:c>
      <x:c r="I141" s="9">
        <x:f t="shared" si="19"/>
        <x:v>990.6200666364557</x:v>
      </x:c>
      <x:c r="J141" s="20">
        <x:f t="shared" si="20"/>
        <x:v>0</x:v>
      </x:c>
      <x:c r="K141" s="20" t="n">
        <x:f>$B$5+SUM($E$31:E141)</x:f>
        <x:v>65500</x:v>
      </x:c>
      <x:c r="L141" s="20">
        <x:f t="shared" si="21"/>
        <x:v>153679.35534394911</x:v>
      </x:c>
    </x:row>
    <x:row r="142">
      <x:c r="A142">
        <x:f t="shared" si="11"/>
        <x:v>112</x:v>
      </x:c>
      <x:c r="B142" s="8">
        <x:f t="shared" si="12"/>
        <x:v>49675</x:v>
      </x:c>
      <x:c r="C142" s="20">
        <x:f t="shared" si="13"/>
        <x:v>155.75504470570024</x:v>
      </x:c>
      <x:c r="D142" s="9">
        <x:f t="shared" si="14"/>
        <x:v>990.6200666364557</x:v>
      </x:c>
      <x:c r="E142" s="20">
        <x:f t="shared" si="15"/>
        <x:v>500</x:v>
      </x:c>
      <x:c r="F142" s="9">
        <x:f t="shared" si="16"/>
        <x:v>3.2101688965821422</x:v>
      </x:c>
      <x:c r="G142" s="20">
        <x:f t="shared" si="17"/>
        <x:v>1238.3525821225992</x:v>
      </x:c>
      <x:c r="H142" s="9">
        <x:f t="shared" si="18"/>
        <x:v>7.9506418842643019</x:v>
      </x:c>
      <x:c r="I142" s="9">
        <x:f t="shared" si="19"/>
        <x:v>1001.7808774173021</x:v>
      </x:c>
      <x:c r="J142" s="20">
        <x:f t="shared" si="20"/>
        <x:v>0</x:v>
      </x:c>
      <x:c r="K142" s="20" t="n">
        <x:f>$B$5+SUM($E$31:E142)</x:f>
        <x:v>66000</x:v>
      </x:c>
      <x:c r="L142" s="20">
        <x:f t="shared" si="21"/>
        <x:v>156032.42534744751</x:v>
      </x:c>
    </x:row>
    <x:row r="143">
      <x:c r="A143">
        <x:f t="shared" si="11"/>
        <x:v>113</x:v>
      </x:c>
      <x:c r="B143" s="8">
        <x:f t="shared" si="12"/>
        <x:v>49706</x:v>
      </x:c>
      <x:c r="C143" s="20">
        <x:f t="shared" si="13"/>
        <x:v>156.37806488452304</x:v>
      </x:c>
      <x:c r="D143" s="9">
        <x:f t="shared" si="14"/>
        <x:v>1001.7808774173021</x:v>
      </x:c>
      <x:c r="E143" s="20">
        <x:f t="shared" si="15"/>
        <x:v>500</x:v>
      </x:c>
      <x:c r="F143" s="9">
        <x:f t="shared" si="16"/>
        <x:v>3.1973793790658789</x:v>
      </x:c>
      <x:c r="G143" s="20">
        <x:f t="shared" si="17"/>
        <x:v>1257.2524403906984</x:v>
      </x:c>
      <x:c r="H143" s="9">
        <x:f t="shared" si="18"/>
        <x:v>8.0398260543709448</x:v>
      </x:c>
      <x:c r="I143" s="9">
        <x:f t="shared" si="19"/>
        <x:v>1013.0180828507389</x:v>
      </x:c>
      <x:c r="J143" s="20">
        <x:f t="shared" si="20"/>
        <x:v>0</x:v>
      </x:c>
      <x:c r="K143" s="20" t="n">
        <x:f>$B$5+SUM($E$31:E143)</x:f>
        <x:v>66500</x:v>
      </x:c>
      <x:c r="L143" s="20">
        <x:f t="shared" si="21"/>
        <x:v>158413.807489228</x:v>
      </x:c>
    </x:row>
    <x:row r="144">
      <x:c r="A144">
        <x:f t="shared" si="11"/>
        <x:v>114</x:v>
      </x:c>
      <x:c r="B144" s="8">
        <x:f t="shared" si="12"/>
        <x:v>49735</x:v>
      </x:c>
      <x:c r="C144" s="20">
        <x:f t="shared" si="13"/>
        <x:v>157.00357714406113</x:v>
      </x:c>
      <x:c r="D144" s="9">
        <x:f t="shared" si="14"/>
        <x:v>1013.0180828507389</x:v>
      </x:c>
      <x:c r="E144" s="20">
        <x:f t="shared" si="15"/>
        <x:v>500</x:v>
      </x:c>
      <x:c r="F144" s="9">
        <x:f t="shared" si="16"/>
        <x:v>3.1846408158026684</x:v>
      </x:c>
      <x:c r="G144" s="20">
        <x:f t="shared" si="17"/>
        <x:v>1276.3797017534791</x:v>
      </x:c>
      <x:c r="H144" s="9">
        <x:f t="shared" si="18"/>
        <x:v>8.129621789332333</x:v>
      </x:c>
      <x:c r="I144" s="9">
        <x:f t="shared" si="19"/>
        <x:v>1024.332345455874</x:v>
      </x:c>
      <x:c r="J144" s="20">
        <x:f t="shared" si="20"/>
        <x:v>0</x:v>
      </x:c>
      <x:c r="K144" s="20" t="n">
        <x:f>$B$5+SUM($E$31:E144)</x:f>
        <x:v>67000</x:v>
      </x:c>
      <x:c r="L144" s="20">
        <x:f t="shared" si="21"/>
        <x:v>160823.8424209384</x:v>
      </x:c>
    </x:row>
    <x:row r="145">
      <x:c r="A145">
        <x:f t="shared" si="11"/>
        <x:v>115</x:v>
      </x:c>
      <x:c r="B145" s="8">
        <x:f t="shared" si="12"/>
        <x:v>49766</x:v>
      </x:c>
      <x:c r="C145" s="20">
        <x:f t="shared" si="13"/>
        <x:v>157.63159145263739</x:v>
      </x:c>
      <x:c r="D145" s="9">
        <x:f t="shared" si="14"/>
        <x:v>1024.332345455874</x:v>
      </x:c>
      <x:c r="E145" s="20">
        <x:f t="shared" si="15"/>
        <x:v>500</x:v>
      </x:c>
      <x:c r="F145" s="9">
        <x:f t="shared" si="16"/>
        <x:v>3.1719530037875177</x:v>
      </x:c>
      <x:c r="G145" s="20">
        <x:f t="shared" si="17"/>
        <x:v>1295.7371023249775</x:v>
      </x:c>
      <x:c r="H145" s="9">
        <x:f t="shared" si="18"/>
        <x:v>8.220034387677293</x:v>
      </x:c>
      <x:c r="I145" s="9">
        <x:f t="shared" si="19"/>
        <x:v>1035.7243328473389</x:v>
      </x:c>
      <x:c r="J145" s="20">
        <x:f t="shared" si="20"/>
        <x:v>0</x:v>
      </x:c>
      <x:c r="K145" s="20" t="n">
        <x:f>$B$5+SUM($E$31:E145)</x:f>
        <x:v>67500</x:v>
      </x:c>
      <x:c r="L145" s="20">
        <x:f t="shared" si="21"/>
        <x:v>163262.87489294715</x:v>
      </x:c>
    </x:row>
    <x:row r="146">
      <x:c r="A146">
        <x:f t="shared" si="11"/>
        <x:v>116</x:v>
      </x:c>
      <x:c r="B146" s="8">
        <x:f t="shared" si="12"/>
        <x:v>49796</x:v>
      </x:c>
      <x:c r="C146" s="20">
        <x:f t="shared" si="13"/>
        <x:v>158.26211781844793</x:v>
      </x:c>
      <x:c r="D146" s="9">
        <x:f t="shared" si="14"/>
        <x:v>1035.7243328473389</x:v>
      </x:c>
      <x:c r="E146" s="20">
        <x:f t="shared" si="15"/>
        <x:v>500</x:v>
      </x:c>
      <x:c r="F146" s="9">
        <x:f t="shared" si="16"/>
        <x:v>3.159315740824221</x:v>
      </x:c>
      <x:c r="G146" s="20">
        <x:f t="shared" si="17"/>
        <x:v>1315.3274111401515</x:v>
      </x:c>
      <x:c r="H146" s="9">
        <x:f t="shared" si="18"/>
        <x:v>8.3110691887053054</x:v>
      </x:c>
      <x:c r="I146" s="9">
        <x:f t="shared" si="19"/>
        <x:v>1047.1947177768684</x:v>
      </x:c>
      <x:c r="J146" s="20">
        <x:f t="shared" si="20"/>
        <x:v>0</x:v>
      </x:c>
      <x:c r="K146" s="20" t="n">
        <x:f>$B$5+SUM($E$31:E146)</x:f>
        <x:v>68000</x:v>
      </x:c>
      <x:c r="L146" s="20">
        <x:f t="shared" si="21"/>
        <x:v>165731.25380365908</x:v>
      </x:c>
    </x:row>
    <x:row r="147">
      <x:c r="A147">
        <x:f t="shared" si="11"/>
        <x:v>117</x:v>
      </x:c>
      <x:c r="B147" s="8">
        <x:f t="shared" si="12"/>
        <x:v>49827</x:v>
      </x:c>
      <x:c r="C147" s="20">
        <x:f t="shared" si="13"/>
        <x:v>158.89516628972171</x:v>
      </x:c>
      <x:c r="D147" s="9">
        <x:f t="shared" si="14"/>
        <x:v>1047.1947177768684</x:v>
      </x:c>
      <x:c r="E147" s="20">
        <x:f t="shared" si="15"/>
        <x:v>500</x:v>
      </x:c>
      <x:c r="F147" s="9">
        <x:f t="shared" si="16"/>
        <x:v>3.1467288255221328</x:v>
      </x:c>
      <x:c r="G147" s="20">
        <x:f t="shared" si="17"/>
        <x:v>1335.1534305509897</x:v>
      </x:c>
      <x:c r="H147" s="9">
        <x:f t="shared" si="18"/>
        <x:v>8.4027315728191248</x:v>
      </x:c>
      <x:c r="I147" s="9">
        <x:f t="shared" si="19"/>
        <x:v>1058.7441781752098</x:v>
      </x:c>
      <x:c r="J147" s="20">
        <x:f t="shared" si="20"/>
        <x:v>0</x:v>
      </x:c>
      <x:c r="K147" s="20" t="n">
        <x:f>$B$5+SUM($E$31:E147)</x:f>
        <x:v>68500</x:v>
      </x:c>
      <x:c r="L147" s="20">
        <x:f t="shared" si="21"/>
        <x:v>168229.33224942471</x:v>
      </x:c>
    </x:row>
    <x:row r="148">
      <x:c r="A148">
        <x:f t="shared" si="11"/>
        <x:v>118</x:v>
      </x:c>
      <x:c r="B148" s="8">
        <x:f t="shared" si="12"/>
        <x:v>49857</x:v>
      </x:c>
      <x:c r="C148" s="20">
        <x:f t="shared" si="13"/>
        <x:v>159.53074695488058</x:v>
      </x:c>
      <x:c r="D148" s="9">
        <x:f t="shared" si="14"/>
        <x:v>1058.7441781752098</x:v>
      </x:c>
      <x:c r="E148" s="20">
        <x:f t="shared" si="15"/>
        <x:v>500</x:v>
      </x:c>
      <x:c r="F148" s="9">
        <x:f t="shared" si="16"/>
        <x:v>3.1341920572929611</x:v>
      </x:c>
      <x:c r="G148" s="20">
        <x:f t="shared" si="17"/>
        <x:v>1355.2179966273791</x:v>
      </x:c>
      <x:c r="H148" s="9">
        <x:f t="shared" si="18"/>
        <x:v>8.495026961860022</x:v>
      </x:c>
      <x:c r="I148" s="9">
        <x:f t="shared" si="19"/>
        <x:v>1070.3733971943627</x:v>
      </x:c>
      <x:c r="J148" s="20">
        <x:f t="shared" si="20"/>
        <x:v>0</x:v>
      </x:c>
      <x:c r="K148" s="20" t="n">
        <x:f>$B$5+SUM($E$31:E148)</x:f>
        <x:v>69000</x:v>
      </x:c>
      <x:c r="L148" s="20">
        <x:f t="shared" si="21"/>
        <x:v>170757.46757504976</x:v>
      </x:c>
    </x:row>
    <x:row r="149">
      <x:c r="A149">
        <x:f t="shared" si="11"/>
        <x:v>119</x:v>
      </x:c>
      <x:c r="B149" s="8">
        <x:f t="shared" si="12"/>
        <x:v>49888</x:v>
      </x:c>
      <x:c r="C149" s="20">
        <x:f t="shared" si="13"/>
        <x:v>160.16886994270013</x:v>
      </x:c>
      <x:c r="D149" s="9">
        <x:f t="shared" si="14"/>
        <x:v>1070.3733971943627</x:v>
      </x:c>
      <x:c r="E149" s="20">
        <x:f t="shared" si="15"/>
        <x:v>500</x:v>
      </x:c>
      <x:c r="F149" s="9">
        <x:f t="shared" si="16"/>
        <x:v>3.1217052363475708</x:v>
      </x:c>
      <x:c r="G149" s="20">
        <x:f t="shared" si="17"/>
        <x:v>1375.5239795628002</x:v>
      </x:c>
      <x:c r="H149" s="9">
        <x:f t="shared" si="18"/>
        <x:v>8.5879608194456836</x:v>
      </x:c>
      <x:c r="I149" s="9">
        <x:f t="shared" si="19"/>
        <x:v>1082.0830632501561</x:v>
      </x:c>
      <x:c r="J149" s="20">
        <x:f t="shared" si="20"/>
        <x:v>0</x:v>
      </x:c>
      <x:c r="K149" s="20" t="n">
        <x:f>$B$5+SUM($E$31:E149)</x:f>
        <x:v>69500</x:v>
      </x:c>
      <x:c r="L149" s="20">
        <x:f t="shared" si="21"/>
        <x:v>173316.02142491282</x:v>
      </x:c>
    </x:row>
    <x:row r="150">
      <x:c r="A150">
        <x:f t="shared" si="11"/>
        <x:v>120</x:v>
      </x:c>
      <x:c r="B150" s="8">
        <x:f t="shared" si="12"/>
        <x:v>49919</x:v>
      </x:c>
      <x:c r="C150" s="20">
        <x:f t="shared" si="13"/>
        <x:v>160.8095454224709</x:v>
      </x:c>
      <x:c r="D150" s="9">
        <x:f t="shared" si="14"/>
        <x:v>1082.0830632501561</x:v>
      </x:c>
      <x:c r="E150" s="20">
        <x:f t="shared" si="15"/>
        <x:v>500</x:v>
      </x:c>
      <x:c r="F150" s="9">
        <x:f t="shared" si="16"/>
        <x:v>3.1092681636927999</x:v>
      </x:c>
      <x:c r="G150" s="20">
        <x:f t="shared" si="17"/>
        <x:v>1396.0742840848995</x:v>
      </x:c>
      <x:c r="H150" s="9">
        <x:f t="shared" si="18"/>
        <x:v>8.6815386513107917</x:v>
      </x:c>
      <x:c r="I150" s="9">
        <x:f t="shared" si="19"/>
        <x:v>1093.8738700651597</x:v>
      </x:c>
      <x:c r="J150" s="20">
        <x:f t="shared" si="20"/>
        <x:v>0</x:v>
      </x:c>
      <x:c r="K150" s="20" t="n">
        <x:f>$B$5+SUM($E$31:E150)</x:f>
        <x:v>70000</x:v>
      </x:c>
      <x:c r="L150" s="20">
        <x:f t="shared" si="21"/>
        <x:v>175905.35979469735</x:v>
      </x:c>
    </x:row>
  </x:sheetData>
  <x:mergeCells>
    <x:mergeCell ref="A1:L1"/>
    <x:mergeCell ref="G5:L10"/>
  </x:mergeCells>
  <x:pageMargins left="0.7" right="0.7" top="0.75" bottom="0.75" header="0.3" footer="0.3"/>
  <x:drawing xmlns:r="http://schemas.openxmlformats.org/officeDocument/2006/relationships" r:id="R0d02cc0e9dd74790"/>
</x:worksheet>
</file>